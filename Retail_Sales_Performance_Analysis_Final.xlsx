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72EE9FC-A60E-4CE5-AD23-008543AAED36}" xr6:coauthVersionLast="47" xr6:coauthVersionMax="47" xr10:uidLastSave="{00000000-0000-0000-0000-000000000000}"/>
  <bookViews>
    <workbookView xWindow="-108" yWindow="-108" windowWidth="23256" windowHeight="12456" tabRatio="873" activeTab="10" xr2:uid="{00000000-000D-0000-FFFF-FFFF00000000}"/>
  </bookViews>
  <sheets>
    <sheet name="RetailSales" sheetId="1" r:id="rId1"/>
    <sheet name="Data Cleaning" sheetId="2" r:id="rId2"/>
    <sheet name="Analysis" sheetId="3" r:id="rId3"/>
    <sheet name="Pivot_Month" sheetId="4" r:id="rId4"/>
    <sheet name="Pivot_City" sheetId="5" r:id="rId5"/>
    <sheet name="Pivot_Brand" sheetId="6" r:id="rId6"/>
    <sheet name="Pivot_Product" sheetId="7" r:id="rId7"/>
    <sheet name="Pivot_Payment" sheetId="8" r:id="rId8"/>
    <sheet name="Pivot_CustomerSegment" sheetId="9" r:id="rId9"/>
    <sheet name="Pivot_SalesExecutive" sheetId="10" r:id="rId10"/>
    <sheet name="Dashboard" sheetId="11" r:id="rId11"/>
  </sheets>
  <definedNames>
    <definedName name="_xlnm.Print_Area" localSheetId="10">Dashboard!$A$1:$N$75</definedName>
  </definedNames>
  <calcPr calcId="191029"/>
  <pivotCaches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M4" i="11" s="1"/>
  <c r="B5" i="3"/>
  <c r="J4" i="11" s="1"/>
  <c r="B4" i="3"/>
  <c r="G4" i="11" s="1"/>
  <c r="B3" i="3"/>
  <c r="D4" i="11" s="1"/>
  <c r="B2" i="3"/>
  <c r="A4" i="11" s="1"/>
  <c r="Z501" i="1"/>
  <c r="Y501" i="1"/>
  <c r="X501" i="1"/>
  <c r="W501" i="1"/>
  <c r="Z500" i="1"/>
  <c r="Y500" i="1"/>
  <c r="X500" i="1"/>
  <c r="W500" i="1"/>
  <c r="Z499" i="1"/>
  <c r="Y499" i="1"/>
  <c r="X499" i="1"/>
  <c r="W499" i="1"/>
  <c r="Z498" i="1"/>
  <c r="Y498" i="1"/>
  <c r="X498" i="1"/>
  <c r="W498" i="1"/>
  <c r="Z497" i="1"/>
  <c r="Y497" i="1"/>
  <c r="X497" i="1"/>
  <c r="W497" i="1"/>
  <c r="Z496" i="1"/>
  <c r="Y496" i="1"/>
  <c r="X496" i="1"/>
  <c r="W496" i="1"/>
  <c r="Z495" i="1"/>
  <c r="Y495" i="1"/>
  <c r="X495" i="1"/>
  <c r="W495" i="1"/>
  <c r="Z494" i="1"/>
  <c r="Y494" i="1"/>
  <c r="X494" i="1"/>
  <c r="W494" i="1"/>
  <c r="Z493" i="1"/>
  <c r="Y493" i="1"/>
  <c r="X493" i="1"/>
  <c r="W493" i="1"/>
  <c r="Z492" i="1"/>
  <c r="Y492" i="1"/>
  <c r="X492" i="1"/>
  <c r="W492" i="1"/>
  <c r="Z491" i="1"/>
  <c r="Y491" i="1"/>
  <c r="X491" i="1"/>
  <c r="W491" i="1"/>
  <c r="Z490" i="1"/>
  <c r="Y490" i="1"/>
  <c r="X490" i="1"/>
  <c r="W490" i="1"/>
  <c r="Z489" i="1"/>
  <c r="Y489" i="1"/>
  <c r="X489" i="1"/>
  <c r="W489" i="1"/>
  <c r="Z488" i="1"/>
  <c r="Y488" i="1"/>
  <c r="X488" i="1"/>
  <c r="W488" i="1"/>
  <c r="Z487" i="1"/>
  <c r="Y487" i="1"/>
  <c r="X487" i="1"/>
  <c r="W487" i="1"/>
  <c r="Z486" i="1"/>
  <c r="Y486" i="1"/>
  <c r="X486" i="1"/>
  <c r="W486" i="1"/>
  <c r="Z485" i="1"/>
  <c r="Y485" i="1"/>
  <c r="X485" i="1"/>
  <c r="W485" i="1"/>
  <c r="Z484" i="1"/>
  <c r="Y484" i="1"/>
  <c r="X484" i="1"/>
  <c r="W484" i="1"/>
  <c r="Z483" i="1"/>
  <c r="Y483" i="1"/>
  <c r="X483" i="1"/>
  <c r="W483" i="1"/>
  <c r="Z482" i="1"/>
  <c r="Y482" i="1"/>
  <c r="X482" i="1"/>
  <c r="W482" i="1"/>
  <c r="Z481" i="1"/>
  <c r="Y481" i="1"/>
  <c r="X481" i="1"/>
  <c r="W481" i="1"/>
  <c r="Z480" i="1"/>
  <c r="Y480" i="1"/>
  <c r="X480" i="1"/>
  <c r="W480" i="1"/>
  <c r="Z479" i="1"/>
  <c r="Y479" i="1"/>
  <c r="X479" i="1"/>
  <c r="W479" i="1"/>
  <c r="Z478" i="1"/>
  <c r="Y478" i="1"/>
  <c r="X478" i="1"/>
  <c r="W478" i="1"/>
  <c r="Z477" i="1"/>
  <c r="Y477" i="1"/>
  <c r="X477" i="1"/>
  <c r="W477" i="1"/>
  <c r="Z476" i="1"/>
  <c r="Y476" i="1"/>
  <c r="X476" i="1"/>
  <c r="W476" i="1"/>
  <c r="Z475" i="1"/>
  <c r="Y475" i="1"/>
  <c r="X475" i="1"/>
  <c r="W475" i="1"/>
  <c r="Z474" i="1"/>
  <c r="Y474" i="1"/>
  <c r="X474" i="1"/>
  <c r="W474" i="1"/>
  <c r="Z473" i="1"/>
  <c r="Y473" i="1"/>
  <c r="X473" i="1"/>
  <c r="W473" i="1"/>
  <c r="Z472" i="1"/>
  <c r="Y472" i="1"/>
  <c r="X472" i="1"/>
  <c r="W472" i="1"/>
  <c r="Z471" i="1"/>
  <c r="Y471" i="1"/>
  <c r="X471" i="1"/>
  <c r="W471" i="1"/>
  <c r="Z470" i="1"/>
  <c r="Y470" i="1"/>
  <c r="X470" i="1"/>
  <c r="W470" i="1"/>
  <c r="Z469" i="1"/>
  <c r="Y469" i="1"/>
  <c r="X469" i="1"/>
  <c r="W469" i="1"/>
  <c r="Z468" i="1"/>
  <c r="Y468" i="1"/>
  <c r="X468" i="1"/>
  <c r="W468" i="1"/>
  <c r="Z467" i="1"/>
  <c r="Y467" i="1"/>
  <c r="X467" i="1"/>
  <c r="W467" i="1"/>
  <c r="Z466" i="1"/>
  <c r="Y466" i="1"/>
  <c r="X466" i="1"/>
  <c r="W466" i="1"/>
  <c r="Z465" i="1"/>
  <c r="Y465" i="1"/>
  <c r="X465" i="1"/>
  <c r="W465" i="1"/>
  <c r="Z464" i="1"/>
  <c r="Y464" i="1"/>
  <c r="X464" i="1"/>
  <c r="W464" i="1"/>
  <c r="Z463" i="1"/>
  <c r="Y463" i="1"/>
  <c r="X463" i="1"/>
  <c r="W463" i="1"/>
  <c r="Z462" i="1"/>
  <c r="Y462" i="1"/>
  <c r="X462" i="1"/>
  <c r="W462" i="1"/>
  <c r="Z461" i="1"/>
  <c r="Y461" i="1"/>
  <c r="X461" i="1"/>
  <c r="W461" i="1"/>
  <c r="Z460" i="1"/>
  <c r="Y460" i="1"/>
  <c r="X460" i="1"/>
  <c r="W460" i="1"/>
  <c r="Z459" i="1"/>
  <c r="Y459" i="1"/>
  <c r="X459" i="1"/>
  <c r="W459" i="1"/>
  <c r="Z458" i="1"/>
  <c r="Y458" i="1"/>
  <c r="X458" i="1"/>
  <c r="W458" i="1"/>
  <c r="Z457" i="1"/>
  <c r="Y457" i="1"/>
  <c r="X457" i="1"/>
  <c r="W457" i="1"/>
  <c r="Z456" i="1"/>
  <c r="Y456" i="1"/>
  <c r="X456" i="1"/>
  <c r="W456" i="1"/>
  <c r="Z455" i="1"/>
  <c r="Y455" i="1"/>
  <c r="X455" i="1"/>
  <c r="W455" i="1"/>
  <c r="Z454" i="1"/>
  <c r="Y454" i="1"/>
  <c r="X454" i="1"/>
  <c r="W454" i="1"/>
  <c r="Z453" i="1"/>
  <c r="Y453" i="1"/>
  <c r="X453" i="1"/>
  <c r="W453" i="1"/>
  <c r="Z452" i="1"/>
  <c r="Y452" i="1"/>
  <c r="X452" i="1"/>
  <c r="W452" i="1"/>
  <c r="Z451" i="1"/>
  <c r="Y451" i="1"/>
  <c r="X451" i="1"/>
  <c r="W451" i="1"/>
  <c r="Z450" i="1"/>
  <c r="Y450" i="1"/>
  <c r="X450" i="1"/>
  <c r="W450" i="1"/>
  <c r="Z449" i="1"/>
  <c r="Y449" i="1"/>
  <c r="X449" i="1"/>
  <c r="W449" i="1"/>
  <c r="Z448" i="1"/>
  <c r="Y448" i="1"/>
  <c r="X448" i="1"/>
  <c r="W448" i="1"/>
  <c r="Z447" i="1"/>
  <c r="Y447" i="1"/>
  <c r="X447" i="1"/>
  <c r="W447" i="1"/>
  <c r="Z446" i="1"/>
  <c r="Y446" i="1"/>
  <c r="X446" i="1"/>
  <c r="W446" i="1"/>
  <c r="Z445" i="1"/>
  <c r="Y445" i="1"/>
  <c r="X445" i="1"/>
  <c r="W445" i="1"/>
  <c r="Z444" i="1"/>
  <c r="Y444" i="1"/>
  <c r="X444" i="1"/>
  <c r="W444" i="1"/>
  <c r="Z443" i="1"/>
  <c r="Y443" i="1"/>
  <c r="X443" i="1"/>
  <c r="W443" i="1"/>
  <c r="Z442" i="1"/>
  <c r="Y442" i="1"/>
  <c r="X442" i="1"/>
  <c r="W442" i="1"/>
  <c r="Z441" i="1"/>
  <c r="Y441" i="1"/>
  <c r="X441" i="1"/>
  <c r="W441" i="1"/>
  <c r="Z440" i="1"/>
  <c r="Y440" i="1"/>
  <c r="X440" i="1"/>
  <c r="W440" i="1"/>
  <c r="Z439" i="1"/>
  <c r="Y439" i="1"/>
  <c r="X439" i="1"/>
  <c r="W439" i="1"/>
  <c r="Z438" i="1"/>
  <c r="Y438" i="1"/>
  <c r="X438" i="1"/>
  <c r="W438" i="1"/>
  <c r="Z437" i="1"/>
  <c r="Y437" i="1"/>
  <c r="X437" i="1"/>
  <c r="W437" i="1"/>
  <c r="Z436" i="1"/>
  <c r="Y436" i="1"/>
  <c r="X436" i="1"/>
  <c r="W436" i="1"/>
  <c r="Z435" i="1"/>
  <c r="Y435" i="1"/>
  <c r="X435" i="1"/>
  <c r="W435" i="1"/>
  <c r="Z434" i="1"/>
  <c r="Y434" i="1"/>
  <c r="X434" i="1"/>
  <c r="W434" i="1"/>
  <c r="Z433" i="1"/>
  <c r="Y433" i="1"/>
  <c r="X433" i="1"/>
  <c r="W433" i="1"/>
  <c r="Z432" i="1"/>
  <c r="Y432" i="1"/>
  <c r="X432" i="1"/>
  <c r="W432" i="1"/>
  <c r="Z431" i="1"/>
  <c r="Y431" i="1"/>
  <c r="X431" i="1"/>
  <c r="W431" i="1"/>
  <c r="Z430" i="1"/>
  <c r="Y430" i="1"/>
  <c r="X430" i="1"/>
  <c r="W430" i="1"/>
  <c r="Z429" i="1"/>
  <c r="Y429" i="1"/>
  <c r="X429" i="1"/>
  <c r="W429" i="1"/>
  <c r="Z428" i="1"/>
  <c r="Y428" i="1"/>
  <c r="X428" i="1"/>
  <c r="W428" i="1"/>
  <c r="Z427" i="1"/>
  <c r="Y427" i="1"/>
  <c r="X427" i="1"/>
  <c r="W427" i="1"/>
  <c r="Z426" i="1"/>
  <c r="Y426" i="1"/>
  <c r="X426" i="1"/>
  <c r="W426" i="1"/>
  <c r="Z425" i="1"/>
  <c r="Y425" i="1"/>
  <c r="X425" i="1"/>
  <c r="W425" i="1"/>
  <c r="Z424" i="1"/>
  <c r="Y424" i="1"/>
  <c r="X424" i="1"/>
  <c r="W424" i="1"/>
  <c r="Z423" i="1"/>
  <c r="Y423" i="1"/>
  <c r="X423" i="1"/>
  <c r="W423" i="1"/>
  <c r="Z422" i="1"/>
  <c r="Y422" i="1"/>
  <c r="X422" i="1"/>
  <c r="W422" i="1"/>
  <c r="Z421" i="1"/>
  <c r="Y421" i="1"/>
  <c r="X421" i="1"/>
  <c r="W421" i="1"/>
  <c r="Z420" i="1"/>
  <c r="Y420" i="1"/>
  <c r="X420" i="1"/>
  <c r="W420" i="1"/>
  <c r="Z419" i="1"/>
  <c r="Y419" i="1"/>
  <c r="X419" i="1"/>
  <c r="W419" i="1"/>
  <c r="Z418" i="1"/>
  <c r="Y418" i="1"/>
  <c r="X418" i="1"/>
  <c r="W418" i="1"/>
  <c r="Z417" i="1"/>
  <c r="Y417" i="1"/>
  <c r="X417" i="1"/>
  <c r="W417" i="1"/>
  <c r="Z416" i="1"/>
  <c r="Y416" i="1"/>
  <c r="X416" i="1"/>
  <c r="W416" i="1"/>
  <c r="Z415" i="1"/>
  <c r="Y415" i="1"/>
  <c r="X415" i="1"/>
  <c r="W415" i="1"/>
  <c r="Z414" i="1"/>
  <c r="Y414" i="1"/>
  <c r="X414" i="1"/>
  <c r="W414" i="1"/>
  <c r="Z413" i="1"/>
  <c r="Y413" i="1"/>
  <c r="X413" i="1"/>
  <c r="W413" i="1"/>
  <c r="Z412" i="1"/>
  <c r="Y412" i="1"/>
  <c r="X412" i="1"/>
  <c r="W412" i="1"/>
  <c r="Z411" i="1"/>
  <c r="Y411" i="1"/>
  <c r="X411" i="1"/>
  <c r="W411" i="1"/>
  <c r="Z410" i="1"/>
  <c r="Y410" i="1"/>
  <c r="X410" i="1"/>
  <c r="W410" i="1"/>
  <c r="Z409" i="1"/>
  <c r="Y409" i="1"/>
  <c r="X409" i="1"/>
  <c r="W409" i="1"/>
  <c r="Z408" i="1"/>
  <c r="Y408" i="1"/>
  <c r="X408" i="1"/>
  <c r="W408" i="1"/>
  <c r="Z407" i="1"/>
  <c r="Y407" i="1"/>
  <c r="X407" i="1"/>
  <c r="W407" i="1"/>
  <c r="Z406" i="1"/>
  <c r="Y406" i="1"/>
  <c r="X406" i="1"/>
  <c r="W406" i="1"/>
  <c r="Z405" i="1"/>
  <c r="Y405" i="1"/>
  <c r="X405" i="1"/>
  <c r="W405" i="1"/>
  <c r="Z404" i="1"/>
  <c r="Y404" i="1"/>
  <c r="X404" i="1"/>
  <c r="W404" i="1"/>
  <c r="Z403" i="1"/>
  <c r="Y403" i="1"/>
  <c r="X403" i="1"/>
  <c r="W403" i="1"/>
  <c r="Z402" i="1"/>
  <c r="Y402" i="1"/>
  <c r="X402" i="1"/>
  <c r="W402" i="1"/>
  <c r="Z401" i="1"/>
  <c r="Y401" i="1"/>
  <c r="X401" i="1"/>
  <c r="W401" i="1"/>
  <c r="Z400" i="1"/>
  <c r="Y400" i="1"/>
  <c r="X400" i="1"/>
  <c r="W400" i="1"/>
  <c r="Z399" i="1"/>
  <c r="Y399" i="1"/>
  <c r="X399" i="1"/>
  <c r="W399" i="1"/>
  <c r="Z398" i="1"/>
  <c r="Y398" i="1"/>
  <c r="X398" i="1"/>
  <c r="W398" i="1"/>
  <c r="Z397" i="1"/>
  <c r="Y397" i="1"/>
  <c r="X397" i="1"/>
  <c r="W397" i="1"/>
  <c r="Z396" i="1"/>
  <c r="Y396" i="1"/>
  <c r="X396" i="1"/>
  <c r="W396" i="1"/>
  <c r="Z395" i="1"/>
  <c r="Y395" i="1"/>
  <c r="X395" i="1"/>
  <c r="W395" i="1"/>
  <c r="Z394" i="1"/>
  <c r="Y394" i="1"/>
  <c r="X394" i="1"/>
  <c r="W394" i="1"/>
  <c r="Z393" i="1"/>
  <c r="Y393" i="1"/>
  <c r="X393" i="1"/>
  <c r="W393" i="1"/>
  <c r="Z392" i="1"/>
  <c r="Y392" i="1"/>
  <c r="X392" i="1"/>
  <c r="W392" i="1"/>
  <c r="Z391" i="1"/>
  <c r="Y391" i="1"/>
  <c r="X391" i="1"/>
  <c r="W391" i="1"/>
  <c r="Z390" i="1"/>
  <c r="Y390" i="1"/>
  <c r="X390" i="1"/>
  <c r="W390" i="1"/>
  <c r="Z389" i="1"/>
  <c r="Y389" i="1"/>
  <c r="X389" i="1"/>
  <c r="W389" i="1"/>
  <c r="Z388" i="1"/>
  <c r="Y388" i="1"/>
  <c r="X388" i="1"/>
  <c r="W388" i="1"/>
  <c r="Z387" i="1"/>
  <c r="Y387" i="1"/>
  <c r="X387" i="1"/>
  <c r="W387" i="1"/>
  <c r="Z386" i="1"/>
  <c r="Y386" i="1"/>
  <c r="X386" i="1"/>
  <c r="W386" i="1"/>
  <c r="Z385" i="1"/>
  <c r="Y385" i="1"/>
  <c r="X385" i="1"/>
  <c r="W385" i="1"/>
  <c r="Z384" i="1"/>
  <c r="Y384" i="1"/>
  <c r="X384" i="1"/>
  <c r="W384" i="1"/>
  <c r="Z383" i="1"/>
  <c r="Y383" i="1"/>
  <c r="X383" i="1"/>
  <c r="W383" i="1"/>
  <c r="Z382" i="1"/>
  <c r="Y382" i="1"/>
  <c r="X382" i="1"/>
  <c r="W382" i="1"/>
  <c r="Z381" i="1"/>
  <c r="Y381" i="1"/>
  <c r="X381" i="1"/>
  <c r="W381" i="1"/>
  <c r="Z380" i="1"/>
  <c r="Y380" i="1"/>
  <c r="X380" i="1"/>
  <c r="W380" i="1"/>
  <c r="Z379" i="1"/>
  <c r="Y379" i="1"/>
  <c r="X379" i="1"/>
  <c r="W379" i="1"/>
  <c r="Z378" i="1"/>
  <c r="Y378" i="1"/>
  <c r="X378" i="1"/>
  <c r="W378" i="1"/>
  <c r="Z377" i="1"/>
  <c r="Y377" i="1"/>
  <c r="X377" i="1"/>
  <c r="W377" i="1"/>
  <c r="Z376" i="1"/>
  <c r="Y376" i="1"/>
  <c r="X376" i="1"/>
  <c r="W376" i="1"/>
  <c r="Z375" i="1"/>
  <c r="Y375" i="1"/>
  <c r="X375" i="1"/>
  <c r="W375" i="1"/>
  <c r="Z374" i="1"/>
  <c r="Y374" i="1"/>
  <c r="X374" i="1"/>
  <c r="W374" i="1"/>
  <c r="Z373" i="1"/>
  <c r="Y373" i="1"/>
  <c r="X373" i="1"/>
  <c r="W373" i="1"/>
  <c r="Z372" i="1"/>
  <c r="Y372" i="1"/>
  <c r="X372" i="1"/>
  <c r="W372" i="1"/>
  <c r="Z371" i="1"/>
  <c r="Y371" i="1"/>
  <c r="X371" i="1"/>
  <c r="W371" i="1"/>
  <c r="Z370" i="1"/>
  <c r="Y370" i="1"/>
  <c r="X370" i="1"/>
  <c r="W370" i="1"/>
  <c r="Z369" i="1"/>
  <c r="Y369" i="1"/>
  <c r="X369" i="1"/>
  <c r="W369" i="1"/>
  <c r="Z368" i="1"/>
  <c r="Y368" i="1"/>
  <c r="X368" i="1"/>
  <c r="W368" i="1"/>
  <c r="Z367" i="1"/>
  <c r="Y367" i="1"/>
  <c r="X367" i="1"/>
  <c r="W367" i="1"/>
  <c r="Z366" i="1"/>
  <c r="Y366" i="1"/>
  <c r="X366" i="1"/>
  <c r="W366" i="1"/>
  <c r="Z365" i="1"/>
  <c r="Y365" i="1"/>
  <c r="X365" i="1"/>
  <c r="W365" i="1"/>
  <c r="Z364" i="1"/>
  <c r="Y364" i="1"/>
  <c r="X364" i="1"/>
  <c r="W364" i="1"/>
  <c r="Z363" i="1"/>
  <c r="Y363" i="1"/>
  <c r="X363" i="1"/>
  <c r="W363" i="1"/>
  <c r="Z362" i="1"/>
  <c r="Y362" i="1"/>
  <c r="X362" i="1"/>
  <c r="W362" i="1"/>
  <c r="Z361" i="1"/>
  <c r="Y361" i="1"/>
  <c r="X361" i="1"/>
  <c r="W361" i="1"/>
  <c r="Z360" i="1"/>
  <c r="Y360" i="1"/>
  <c r="X360" i="1"/>
  <c r="W360" i="1"/>
  <c r="Z359" i="1"/>
  <c r="Y359" i="1"/>
  <c r="X359" i="1"/>
  <c r="W359" i="1"/>
  <c r="Z358" i="1"/>
  <c r="Y358" i="1"/>
  <c r="X358" i="1"/>
  <c r="W358" i="1"/>
  <c r="Z357" i="1"/>
  <c r="Y357" i="1"/>
  <c r="X357" i="1"/>
  <c r="W357" i="1"/>
  <c r="Z356" i="1"/>
  <c r="Y356" i="1"/>
  <c r="X356" i="1"/>
  <c r="W356" i="1"/>
  <c r="Z355" i="1"/>
  <c r="Y355" i="1"/>
  <c r="X355" i="1"/>
  <c r="W355" i="1"/>
  <c r="Z354" i="1"/>
  <c r="Y354" i="1"/>
  <c r="X354" i="1"/>
  <c r="W354" i="1"/>
  <c r="Z353" i="1"/>
  <c r="Y353" i="1"/>
  <c r="X353" i="1"/>
  <c r="W353" i="1"/>
  <c r="Z352" i="1"/>
  <c r="Y352" i="1"/>
  <c r="X352" i="1"/>
  <c r="W352" i="1"/>
  <c r="Z351" i="1"/>
  <c r="Y351" i="1"/>
  <c r="X351" i="1"/>
  <c r="W351" i="1"/>
  <c r="Z350" i="1"/>
  <c r="Y350" i="1"/>
  <c r="X350" i="1"/>
  <c r="W350" i="1"/>
  <c r="Z349" i="1"/>
  <c r="Y349" i="1"/>
  <c r="X349" i="1"/>
  <c r="W349" i="1"/>
  <c r="Z348" i="1"/>
  <c r="Y348" i="1"/>
  <c r="X348" i="1"/>
  <c r="W348" i="1"/>
  <c r="Z347" i="1"/>
  <c r="Y347" i="1"/>
  <c r="X347" i="1"/>
  <c r="W347" i="1"/>
  <c r="Z346" i="1"/>
  <c r="Y346" i="1"/>
  <c r="X346" i="1"/>
  <c r="W346" i="1"/>
  <c r="Z345" i="1"/>
  <c r="Y345" i="1"/>
  <c r="X345" i="1"/>
  <c r="W345" i="1"/>
  <c r="Z344" i="1"/>
  <c r="Y344" i="1"/>
  <c r="X344" i="1"/>
  <c r="W344" i="1"/>
  <c r="Z343" i="1"/>
  <c r="Y343" i="1"/>
  <c r="X343" i="1"/>
  <c r="W343" i="1"/>
  <c r="Z342" i="1"/>
  <c r="Y342" i="1"/>
  <c r="X342" i="1"/>
  <c r="W342" i="1"/>
  <c r="Z341" i="1"/>
  <c r="Y341" i="1"/>
  <c r="X341" i="1"/>
  <c r="W341" i="1"/>
  <c r="Z340" i="1"/>
  <c r="Y340" i="1"/>
  <c r="X340" i="1"/>
  <c r="W340" i="1"/>
  <c r="Z339" i="1"/>
  <c r="Y339" i="1"/>
  <c r="X339" i="1"/>
  <c r="W339" i="1"/>
  <c r="Z338" i="1"/>
  <c r="Y338" i="1"/>
  <c r="X338" i="1"/>
  <c r="W338" i="1"/>
  <c r="Z337" i="1"/>
  <c r="Y337" i="1"/>
  <c r="X337" i="1"/>
  <c r="W337" i="1"/>
  <c r="Z336" i="1"/>
  <c r="Y336" i="1"/>
  <c r="X336" i="1"/>
  <c r="W336" i="1"/>
  <c r="Z335" i="1"/>
  <c r="Y335" i="1"/>
  <c r="X335" i="1"/>
  <c r="W335" i="1"/>
  <c r="Z334" i="1"/>
  <c r="Y334" i="1"/>
  <c r="X334" i="1"/>
  <c r="W334" i="1"/>
  <c r="Z333" i="1"/>
  <c r="Y333" i="1"/>
  <c r="X333" i="1"/>
  <c r="W333" i="1"/>
  <c r="Z332" i="1"/>
  <c r="Y332" i="1"/>
  <c r="X332" i="1"/>
  <c r="W332" i="1"/>
  <c r="Z331" i="1"/>
  <c r="Y331" i="1"/>
  <c r="X331" i="1"/>
  <c r="W331" i="1"/>
  <c r="Z330" i="1"/>
  <c r="Y330" i="1"/>
  <c r="X330" i="1"/>
  <c r="W330" i="1"/>
  <c r="Z329" i="1"/>
  <c r="Y329" i="1"/>
  <c r="X329" i="1"/>
  <c r="W329" i="1"/>
  <c r="Z328" i="1"/>
  <c r="Y328" i="1"/>
  <c r="X328" i="1"/>
  <c r="W328" i="1"/>
  <c r="Z327" i="1"/>
  <c r="Y327" i="1"/>
  <c r="X327" i="1"/>
  <c r="W327" i="1"/>
  <c r="Z326" i="1"/>
  <c r="Y326" i="1"/>
  <c r="X326" i="1"/>
  <c r="W326" i="1"/>
  <c r="Z325" i="1"/>
  <c r="Y325" i="1"/>
  <c r="X325" i="1"/>
  <c r="W325" i="1"/>
  <c r="Z324" i="1"/>
  <c r="Y324" i="1"/>
  <c r="X324" i="1"/>
  <c r="W324" i="1"/>
  <c r="Z323" i="1"/>
  <c r="Y323" i="1"/>
  <c r="X323" i="1"/>
  <c r="W323" i="1"/>
  <c r="Z322" i="1"/>
  <c r="Y322" i="1"/>
  <c r="X322" i="1"/>
  <c r="W322" i="1"/>
  <c r="Z321" i="1"/>
  <c r="Y321" i="1"/>
  <c r="X321" i="1"/>
  <c r="W321" i="1"/>
  <c r="Z320" i="1"/>
  <c r="Y320" i="1"/>
  <c r="X320" i="1"/>
  <c r="W320" i="1"/>
  <c r="Z319" i="1"/>
  <c r="Y319" i="1"/>
  <c r="X319" i="1"/>
  <c r="W319" i="1"/>
  <c r="Z318" i="1"/>
  <c r="Y318" i="1"/>
  <c r="X318" i="1"/>
  <c r="W318" i="1"/>
  <c r="Z317" i="1"/>
  <c r="Y317" i="1"/>
  <c r="X317" i="1"/>
  <c r="W317" i="1"/>
  <c r="Z316" i="1"/>
  <c r="Y316" i="1"/>
  <c r="X316" i="1"/>
  <c r="W316" i="1"/>
  <c r="Z315" i="1"/>
  <c r="Y315" i="1"/>
  <c r="X315" i="1"/>
  <c r="W315" i="1"/>
  <c r="Z314" i="1"/>
  <c r="Y314" i="1"/>
  <c r="X314" i="1"/>
  <c r="W314" i="1"/>
  <c r="Z313" i="1"/>
  <c r="Y313" i="1"/>
  <c r="X313" i="1"/>
  <c r="W313" i="1"/>
  <c r="Z312" i="1"/>
  <c r="Y312" i="1"/>
  <c r="X312" i="1"/>
  <c r="W312" i="1"/>
  <c r="Z311" i="1"/>
  <c r="Y311" i="1"/>
  <c r="X311" i="1"/>
  <c r="W311" i="1"/>
  <c r="Z310" i="1"/>
  <c r="Y310" i="1"/>
  <c r="X310" i="1"/>
  <c r="W310" i="1"/>
  <c r="Z309" i="1"/>
  <c r="Y309" i="1"/>
  <c r="X309" i="1"/>
  <c r="W309" i="1"/>
  <c r="Z308" i="1"/>
  <c r="Y308" i="1"/>
  <c r="X308" i="1"/>
  <c r="W308" i="1"/>
  <c r="Z307" i="1"/>
  <c r="Y307" i="1"/>
  <c r="X307" i="1"/>
  <c r="W307" i="1"/>
  <c r="Z306" i="1"/>
  <c r="Y306" i="1"/>
  <c r="X306" i="1"/>
  <c r="W306" i="1"/>
  <c r="Z305" i="1"/>
  <c r="Y305" i="1"/>
  <c r="X305" i="1"/>
  <c r="W305" i="1"/>
  <c r="Z304" i="1"/>
  <c r="Y304" i="1"/>
  <c r="X304" i="1"/>
  <c r="W304" i="1"/>
  <c r="Z303" i="1"/>
  <c r="Y303" i="1"/>
  <c r="X303" i="1"/>
  <c r="W303" i="1"/>
  <c r="Z302" i="1"/>
  <c r="Y302" i="1"/>
  <c r="X302" i="1"/>
  <c r="W302" i="1"/>
  <c r="Z301" i="1"/>
  <c r="Y301" i="1"/>
  <c r="X301" i="1"/>
  <c r="W301" i="1"/>
  <c r="Z300" i="1"/>
  <c r="Y300" i="1"/>
  <c r="X300" i="1"/>
  <c r="W300" i="1"/>
  <c r="Z299" i="1"/>
  <c r="Y299" i="1"/>
  <c r="X299" i="1"/>
  <c r="W299" i="1"/>
  <c r="Z298" i="1"/>
  <c r="Y298" i="1"/>
  <c r="X298" i="1"/>
  <c r="W298" i="1"/>
  <c r="Z297" i="1"/>
  <c r="Y297" i="1"/>
  <c r="X297" i="1"/>
  <c r="W297" i="1"/>
  <c r="Z296" i="1"/>
  <c r="Y296" i="1"/>
  <c r="X296" i="1"/>
  <c r="W296" i="1"/>
  <c r="Z295" i="1"/>
  <c r="Y295" i="1"/>
  <c r="X295" i="1"/>
  <c r="W295" i="1"/>
  <c r="Z294" i="1"/>
  <c r="Y294" i="1"/>
  <c r="X294" i="1"/>
  <c r="W294" i="1"/>
  <c r="Z293" i="1"/>
  <c r="Y293" i="1"/>
  <c r="X293" i="1"/>
  <c r="W293" i="1"/>
  <c r="Z292" i="1"/>
  <c r="Y292" i="1"/>
  <c r="X292" i="1"/>
  <c r="W292" i="1"/>
  <c r="Z291" i="1"/>
  <c r="Y291" i="1"/>
  <c r="X291" i="1"/>
  <c r="W291" i="1"/>
  <c r="Z290" i="1"/>
  <c r="Y290" i="1"/>
  <c r="X290" i="1"/>
  <c r="W290" i="1"/>
  <c r="Z289" i="1"/>
  <c r="Y289" i="1"/>
  <c r="X289" i="1"/>
  <c r="W289" i="1"/>
  <c r="Z288" i="1"/>
  <c r="Y288" i="1"/>
  <c r="X288" i="1"/>
  <c r="W288" i="1"/>
  <c r="Z287" i="1"/>
  <c r="Y287" i="1"/>
  <c r="X287" i="1"/>
  <c r="W287" i="1"/>
  <c r="Z286" i="1"/>
  <c r="Y286" i="1"/>
  <c r="X286" i="1"/>
  <c r="W286" i="1"/>
  <c r="Z285" i="1"/>
  <c r="Y285" i="1"/>
  <c r="X285" i="1"/>
  <c r="W285" i="1"/>
  <c r="Z284" i="1"/>
  <c r="Y284" i="1"/>
  <c r="X284" i="1"/>
  <c r="W284" i="1"/>
  <c r="Z283" i="1"/>
  <c r="Y283" i="1"/>
  <c r="X283" i="1"/>
  <c r="W283" i="1"/>
  <c r="Z282" i="1"/>
  <c r="Y282" i="1"/>
  <c r="X282" i="1"/>
  <c r="W282" i="1"/>
  <c r="Z281" i="1"/>
  <c r="Y281" i="1"/>
  <c r="X281" i="1"/>
  <c r="W281" i="1"/>
  <c r="Z280" i="1"/>
  <c r="Y280" i="1"/>
  <c r="X280" i="1"/>
  <c r="W280" i="1"/>
  <c r="Z279" i="1"/>
  <c r="Y279" i="1"/>
  <c r="X279" i="1"/>
  <c r="W279" i="1"/>
  <c r="Z278" i="1"/>
  <c r="Y278" i="1"/>
  <c r="X278" i="1"/>
  <c r="W278" i="1"/>
  <c r="Z277" i="1"/>
  <c r="Y277" i="1"/>
  <c r="X277" i="1"/>
  <c r="W277" i="1"/>
  <c r="Z276" i="1"/>
  <c r="Y276" i="1"/>
  <c r="X276" i="1"/>
  <c r="W276" i="1"/>
  <c r="Z275" i="1"/>
  <c r="Y275" i="1"/>
  <c r="X275" i="1"/>
  <c r="W275" i="1"/>
  <c r="Z274" i="1"/>
  <c r="Y274" i="1"/>
  <c r="X274" i="1"/>
  <c r="W274" i="1"/>
  <c r="Z273" i="1"/>
  <c r="Y273" i="1"/>
  <c r="X273" i="1"/>
  <c r="W273" i="1"/>
  <c r="Z272" i="1"/>
  <c r="Y272" i="1"/>
  <c r="X272" i="1"/>
  <c r="W272" i="1"/>
  <c r="Z271" i="1"/>
  <c r="Y271" i="1"/>
  <c r="X271" i="1"/>
  <c r="W271" i="1"/>
  <c r="Z270" i="1"/>
  <c r="Y270" i="1"/>
  <c r="X270" i="1"/>
  <c r="W270" i="1"/>
  <c r="Z269" i="1"/>
  <c r="Y269" i="1"/>
  <c r="X269" i="1"/>
  <c r="W269" i="1"/>
  <c r="Z268" i="1"/>
  <c r="Y268" i="1"/>
  <c r="X268" i="1"/>
  <c r="W268" i="1"/>
  <c r="Z267" i="1"/>
  <c r="Y267" i="1"/>
  <c r="X267" i="1"/>
  <c r="W267" i="1"/>
  <c r="Z266" i="1"/>
  <c r="Y266" i="1"/>
  <c r="X266" i="1"/>
  <c r="W266" i="1"/>
  <c r="Z265" i="1"/>
  <c r="Y265" i="1"/>
  <c r="X265" i="1"/>
  <c r="W265" i="1"/>
  <c r="Z264" i="1"/>
  <c r="Y264" i="1"/>
  <c r="X264" i="1"/>
  <c r="W264" i="1"/>
  <c r="Z263" i="1"/>
  <c r="Y263" i="1"/>
  <c r="X263" i="1"/>
  <c r="W263" i="1"/>
  <c r="Z262" i="1"/>
  <c r="Y262" i="1"/>
  <c r="X262" i="1"/>
  <c r="W262" i="1"/>
  <c r="Z261" i="1"/>
  <c r="Y261" i="1"/>
  <c r="X261" i="1"/>
  <c r="W261" i="1"/>
  <c r="Z260" i="1"/>
  <c r="Y260" i="1"/>
  <c r="X260" i="1"/>
  <c r="W260" i="1"/>
  <c r="Z259" i="1"/>
  <c r="Y259" i="1"/>
  <c r="X259" i="1"/>
  <c r="W259" i="1"/>
  <c r="Z258" i="1"/>
  <c r="Y258" i="1"/>
  <c r="X258" i="1"/>
  <c r="W258" i="1"/>
  <c r="Z257" i="1"/>
  <c r="Y257" i="1"/>
  <c r="X257" i="1"/>
  <c r="W257" i="1"/>
  <c r="Z256" i="1"/>
  <c r="Y256" i="1"/>
  <c r="X256" i="1"/>
  <c r="W256" i="1"/>
  <c r="Z255" i="1"/>
  <c r="Y255" i="1"/>
  <c r="X255" i="1"/>
  <c r="W255" i="1"/>
  <c r="Z254" i="1"/>
  <c r="Y254" i="1"/>
  <c r="X254" i="1"/>
  <c r="W254" i="1"/>
  <c r="Z253" i="1"/>
  <c r="Y253" i="1"/>
  <c r="X253" i="1"/>
  <c r="W253" i="1"/>
  <c r="Z252" i="1"/>
  <c r="Y252" i="1"/>
  <c r="X252" i="1"/>
  <c r="W252" i="1"/>
  <c r="Z251" i="1"/>
  <c r="Y251" i="1"/>
  <c r="X251" i="1"/>
  <c r="W251" i="1"/>
  <c r="Z250" i="1"/>
  <c r="Y250" i="1"/>
  <c r="X250" i="1"/>
  <c r="W250" i="1"/>
  <c r="Z249" i="1"/>
  <c r="Y249" i="1"/>
  <c r="X249" i="1"/>
  <c r="W249" i="1"/>
  <c r="Z248" i="1"/>
  <c r="Y248" i="1"/>
  <c r="X248" i="1"/>
  <c r="W248" i="1"/>
  <c r="Z247" i="1"/>
  <c r="Y247" i="1"/>
  <c r="X247" i="1"/>
  <c r="W247" i="1"/>
  <c r="Z246" i="1"/>
  <c r="Y246" i="1"/>
  <c r="X246" i="1"/>
  <c r="W246" i="1"/>
  <c r="Z245" i="1"/>
  <c r="Y245" i="1"/>
  <c r="X245" i="1"/>
  <c r="W245" i="1"/>
  <c r="Z244" i="1"/>
  <c r="Y244" i="1"/>
  <c r="X244" i="1"/>
  <c r="W244" i="1"/>
  <c r="Z243" i="1"/>
  <c r="Y243" i="1"/>
  <c r="X243" i="1"/>
  <c r="W243" i="1"/>
  <c r="Z242" i="1"/>
  <c r="Y242" i="1"/>
  <c r="X242" i="1"/>
  <c r="W242" i="1"/>
  <c r="Z241" i="1"/>
  <c r="Y241" i="1"/>
  <c r="X241" i="1"/>
  <c r="W241" i="1"/>
  <c r="Z240" i="1"/>
  <c r="Y240" i="1"/>
  <c r="X240" i="1"/>
  <c r="W240" i="1"/>
  <c r="Z239" i="1"/>
  <c r="Y239" i="1"/>
  <c r="X239" i="1"/>
  <c r="W239" i="1"/>
  <c r="Z238" i="1"/>
  <c r="Y238" i="1"/>
  <c r="X238" i="1"/>
  <c r="W238" i="1"/>
  <c r="Z237" i="1"/>
  <c r="Y237" i="1"/>
  <c r="X237" i="1"/>
  <c r="W237" i="1"/>
  <c r="Z236" i="1"/>
  <c r="Y236" i="1"/>
  <c r="X236" i="1"/>
  <c r="W236" i="1"/>
  <c r="Z235" i="1"/>
  <c r="Y235" i="1"/>
  <c r="X235" i="1"/>
  <c r="W235" i="1"/>
  <c r="Z234" i="1"/>
  <c r="Y234" i="1"/>
  <c r="X234" i="1"/>
  <c r="W234" i="1"/>
  <c r="Z233" i="1"/>
  <c r="Y233" i="1"/>
  <c r="X233" i="1"/>
  <c r="W233" i="1"/>
  <c r="Z232" i="1"/>
  <c r="Y232" i="1"/>
  <c r="X232" i="1"/>
  <c r="W232" i="1"/>
  <c r="Z231" i="1"/>
  <c r="Y231" i="1"/>
  <c r="X231" i="1"/>
  <c r="W231" i="1"/>
  <c r="Z230" i="1"/>
  <c r="Y230" i="1"/>
  <c r="X230" i="1"/>
  <c r="W230" i="1"/>
  <c r="Z229" i="1"/>
  <c r="Y229" i="1"/>
  <c r="X229" i="1"/>
  <c r="W229" i="1"/>
  <c r="Z228" i="1"/>
  <c r="Y228" i="1"/>
  <c r="X228" i="1"/>
  <c r="W228" i="1"/>
  <c r="Z227" i="1"/>
  <c r="Y227" i="1"/>
  <c r="X227" i="1"/>
  <c r="W227" i="1"/>
  <c r="Z226" i="1"/>
  <c r="Y226" i="1"/>
  <c r="X226" i="1"/>
  <c r="W226" i="1"/>
  <c r="Z225" i="1"/>
  <c r="Y225" i="1"/>
  <c r="X225" i="1"/>
  <c r="W225" i="1"/>
  <c r="Z224" i="1"/>
  <c r="Y224" i="1"/>
  <c r="X224" i="1"/>
  <c r="W224" i="1"/>
  <c r="Z223" i="1"/>
  <c r="Y223" i="1"/>
  <c r="X223" i="1"/>
  <c r="W223" i="1"/>
  <c r="Z222" i="1"/>
  <c r="Y222" i="1"/>
  <c r="X222" i="1"/>
  <c r="W222" i="1"/>
  <c r="Z221" i="1"/>
  <c r="Y221" i="1"/>
  <c r="X221" i="1"/>
  <c r="W221" i="1"/>
  <c r="Z220" i="1"/>
  <c r="Y220" i="1"/>
  <c r="X220" i="1"/>
  <c r="W220" i="1"/>
  <c r="Z219" i="1"/>
  <c r="Y219" i="1"/>
  <c r="X219" i="1"/>
  <c r="W219" i="1"/>
  <c r="Z218" i="1"/>
  <c r="Y218" i="1"/>
  <c r="X218" i="1"/>
  <c r="W218" i="1"/>
  <c r="Z217" i="1"/>
  <c r="Y217" i="1"/>
  <c r="X217" i="1"/>
  <c r="W217" i="1"/>
  <c r="Z216" i="1"/>
  <c r="Y216" i="1"/>
  <c r="X216" i="1"/>
  <c r="W216" i="1"/>
  <c r="Z215" i="1"/>
  <c r="Y215" i="1"/>
  <c r="X215" i="1"/>
  <c r="W215" i="1"/>
  <c r="Z214" i="1"/>
  <c r="Y214" i="1"/>
  <c r="X214" i="1"/>
  <c r="W214" i="1"/>
  <c r="Z213" i="1"/>
  <c r="Y213" i="1"/>
  <c r="X213" i="1"/>
  <c r="W213" i="1"/>
  <c r="Z212" i="1"/>
  <c r="Y212" i="1"/>
  <c r="X212" i="1"/>
  <c r="W212" i="1"/>
  <c r="Z211" i="1"/>
  <c r="Y211" i="1"/>
  <c r="X211" i="1"/>
  <c r="W211" i="1"/>
  <c r="Z210" i="1"/>
  <c r="Y210" i="1"/>
  <c r="X210" i="1"/>
  <c r="W210" i="1"/>
  <c r="Z209" i="1"/>
  <c r="Y209" i="1"/>
  <c r="X209" i="1"/>
  <c r="W209" i="1"/>
  <c r="Z208" i="1"/>
  <c r="Y208" i="1"/>
  <c r="X208" i="1"/>
  <c r="W208" i="1"/>
  <c r="Z207" i="1"/>
  <c r="Y207" i="1"/>
  <c r="X207" i="1"/>
  <c r="W207" i="1"/>
  <c r="Z206" i="1"/>
  <c r="Y206" i="1"/>
  <c r="X206" i="1"/>
  <c r="W206" i="1"/>
  <c r="Z205" i="1"/>
  <c r="Y205" i="1"/>
  <c r="X205" i="1"/>
  <c r="W205" i="1"/>
  <c r="Z204" i="1"/>
  <c r="Y204" i="1"/>
  <c r="X204" i="1"/>
  <c r="W204" i="1"/>
  <c r="Z203" i="1"/>
  <c r="Y203" i="1"/>
  <c r="X203" i="1"/>
  <c r="W203" i="1"/>
  <c r="Z202" i="1"/>
  <c r="Y202" i="1"/>
  <c r="X202" i="1"/>
  <c r="W202" i="1"/>
  <c r="Z201" i="1"/>
  <c r="Y201" i="1"/>
  <c r="X201" i="1"/>
  <c r="W201" i="1"/>
  <c r="Z200" i="1"/>
  <c r="Y200" i="1"/>
  <c r="X200" i="1"/>
  <c r="W200" i="1"/>
  <c r="Z199" i="1"/>
  <c r="Y199" i="1"/>
  <c r="X199" i="1"/>
  <c r="W199" i="1"/>
  <c r="Z198" i="1"/>
  <c r="Y198" i="1"/>
  <c r="X198" i="1"/>
  <c r="W198" i="1"/>
  <c r="Z197" i="1"/>
  <c r="Y197" i="1"/>
  <c r="X197" i="1"/>
  <c r="W197" i="1"/>
  <c r="Z196" i="1"/>
  <c r="Y196" i="1"/>
  <c r="X196" i="1"/>
  <c r="W196" i="1"/>
  <c r="Z195" i="1"/>
  <c r="Y195" i="1"/>
  <c r="X195" i="1"/>
  <c r="W195" i="1"/>
  <c r="Z194" i="1"/>
  <c r="Y194" i="1"/>
  <c r="X194" i="1"/>
  <c r="W194" i="1"/>
  <c r="Z193" i="1"/>
  <c r="Y193" i="1"/>
  <c r="X193" i="1"/>
  <c r="W193" i="1"/>
  <c r="Z192" i="1"/>
  <c r="Y192" i="1"/>
  <c r="X192" i="1"/>
  <c r="W192" i="1"/>
  <c r="Z191" i="1"/>
  <c r="Y191" i="1"/>
  <c r="X191" i="1"/>
  <c r="W191" i="1"/>
  <c r="Z190" i="1"/>
  <c r="Y190" i="1"/>
  <c r="X190" i="1"/>
  <c r="W190" i="1"/>
  <c r="Z189" i="1"/>
  <c r="Y189" i="1"/>
  <c r="X189" i="1"/>
  <c r="W189" i="1"/>
  <c r="Z188" i="1"/>
  <c r="Y188" i="1"/>
  <c r="X188" i="1"/>
  <c r="W188" i="1"/>
  <c r="Z187" i="1"/>
  <c r="Y187" i="1"/>
  <c r="X187" i="1"/>
  <c r="W187" i="1"/>
  <c r="Z186" i="1"/>
  <c r="Y186" i="1"/>
  <c r="X186" i="1"/>
  <c r="W186" i="1"/>
  <c r="Z185" i="1"/>
  <c r="Y185" i="1"/>
  <c r="X185" i="1"/>
  <c r="W185" i="1"/>
  <c r="Z184" i="1"/>
  <c r="Y184" i="1"/>
  <c r="X184" i="1"/>
  <c r="W184" i="1"/>
  <c r="Z183" i="1"/>
  <c r="Y183" i="1"/>
  <c r="X183" i="1"/>
  <c r="W183" i="1"/>
  <c r="Z182" i="1"/>
  <c r="Y182" i="1"/>
  <c r="X182" i="1"/>
  <c r="W182" i="1"/>
  <c r="Z181" i="1"/>
  <c r="Y181" i="1"/>
  <c r="X181" i="1"/>
  <c r="W181" i="1"/>
  <c r="Z180" i="1"/>
  <c r="Y180" i="1"/>
  <c r="X180" i="1"/>
  <c r="W180" i="1"/>
  <c r="Z179" i="1"/>
  <c r="Y179" i="1"/>
  <c r="X179" i="1"/>
  <c r="W179" i="1"/>
  <c r="Z178" i="1"/>
  <c r="Y178" i="1"/>
  <c r="X178" i="1"/>
  <c r="W178" i="1"/>
  <c r="Z177" i="1"/>
  <c r="Y177" i="1"/>
  <c r="X177" i="1"/>
  <c r="W177" i="1"/>
  <c r="Z176" i="1"/>
  <c r="Y176" i="1"/>
  <c r="X176" i="1"/>
  <c r="W176" i="1"/>
  <c r="Z175" i="1"/>
  <c r="Y175" i="1"/>
  <c r="X175" i="1"/>
  <c r="W175" i="1"/>
  <c r="Z174" i="1"/>
  <c r="Y174" i="1"/>
  <c r="X174" i="1"/>
  <c r="W174" i="1"/>
  <c r="Z173" i="1"/>
  <c r="Y173" i="1"/>
  <c r="X173" i="1"/>
  <c r="W173" i="1"/>
  <c r="Z172" i="1"/>
  <c r="Y172" i="1"/>
  <c r="X172" i="1"/>
  <c r="W172" i="1"/>
  <c r="Z171" i="1"/>
  <c r="Y171" i="1"/>
  <c r="X171" i="1"/>
  <c r="W171" i="1"/>
  <c r="Z170" i="1"/>
  <c r="Y170" i="1"/>
  <c r="X170" i="1"/>
  <c r="W170" i="1"/>
  <c r="Z169" i="1"/>
  <c r="Y169" i="1"/>
  <c r="X169" i="1"/>
  <c r="W169" i="1"/>
  <c r="Z168" i="1"/>
  <c r="Y168" i="1"/>
  <c r="X168" i="1"/>
  <c r="W168" i="1"/>
  <c r="Z167" i="1"/>
  <c r="Y167" i="1"/>
  <c r="X167" i="1"/>
  <c r="W167" i="1"/>
  <c r="Z166" i="1"/>
  <c r="Y166" i="1"/>
  <c r="X166" i="1"/>
  <c r="W166" i="1"/>
  <c r="Z165" i="1"/>
  <c r="Y165" i="1"/>
  <c r="X165" i="1"/>
  <c r="W165" i="1"/>
  <c r="Z164" i="1"/>
  <c r="Y164" i="1"/>
  <c r="X164" i="1"/>
  <c r="W164" i="1"/>
  <c r="Z163" i="1"/>
  <c r="Y163" i="1"/>
  <c r="X163" i="1"/>
  <c r="W163" i="1"/>
  <c r="Z162" i="1"/>
  <c r="Y162" i="1"/>
  <c r="X162" i="1"/>
  <c r="W162" i="1"/>
  <c r="Z161" i="1"/>
  <c r="Y161" i="1"/>
  <c r="X161" i="1"/>
  <c r="W161" i="1"/>
  <c r="Z160" i="1"/>
  <c r="Y160" i="1"/>
  <c r="X160" i="1"/>
  <c r="W160" i="1"/>
  <c r="Z159" i="1"/>
  <c r="Y159" i="1"/>
  <c r="X159" i="1"/>
  <c r="W159" i="1"/>
  <c r="Z158" i="1"/>
  <c r="Y158" i="1"/>
  <c r="X158" i="1"/>
  <c r="W158" i="1"/>
  <c r="Z157" i="1"/>
  <c r="Y157" i="1"/>
  <c r="X157" i="1"/>
  <c r="W157" i="1"/>
  <c r="Z156" i="1"/>
  <c r="Y156" i="1"/>
  <c r="X156" i="1"/>
  <c r="W156" i="1"/>
  <c r="Z155" i="1"/>
  <c r="Y155" i="1"/>
  <c r="X155" i="1"/>
  <c r="W155" i="1"/>
  <c r="Z154" i="1"/>
  <c r="Y154" i="1"/>
  <c r="X154" i="1"/>
  <c r="W154" i="1"/>
  <c r="Z153" i="1"/>
  <c r="Y153" i="1"/>
  <c r="X153" i="1"/>
  <c r="W153" i="1"/>
  <c r="Z152" i="1"/>
  <c r="Y152" i="1"/>
  <c r="X152" i="1"/>
  <c r="W152" i="1"/>
  <c r="Z151" i="1"/>
  <c r="Y151" i="1"/>
  <c r="X151" i="1"/>
  <c r="W151" i="1"/>
  <c r="Z150" i="1"/>
  <c r="Y150" i="1"/>
  <c r="X150" i="1"/>
  <c r="W150" i="1"/>
  <c r="Z149" i="1"/>
  <c r="Y149" i="1"/>
  <c r="X149" i="1"/>
  <c r="W149" i="1"/>
  <c r="Z148" i="1"/>
  <c r="Y148" i="1"/>
  <c r="X148" i="1"/>
  <c r="W148" i="1"/>
  <c r="Z147" i="1"/>
  <c r="Y147" i="1"/>
  <c r="X147" i="1"/>
  <c r="W147" i="1"/>
  <c r="Z146" i="1"/>
  <c r="Y146" i="1"/>
  <c r="X146" i="1"/>
  <c r="W146" i="1"/>
  <c r="Z145" i="1"/>
  <c r="Y145" i="1"/>
  <c r="X145" i="1"/>
  <c r="W145" i="1"/>
  <c r="Z144" i="1"/>
  <c r="Y144" i="1"/>
  <c r="X144" i="1"/>
  <c r="W144" i="1"/>
  <c r="Z143" i="1"/>
  <c r="Y143" i="1"/>
  <c r="X143" i="1"/>
  <c r="W143" i="1"/>
  <c r="Z142" i="1"/>
  <c r="Y142" i="1"/>
  <c r="X142" i="1"/>
  <c r="W142" i="1"/>
  <c r="Z141" i="1"/>
  <c r="Y141" i="1"/>
  <c r="X141" i="1"/>
  <c r="W141" i="1"/>
  <c r="Z140" i="1"/>
  <c r="Y140" i="1"/>
  <c r="X140" i="1"/>
  <c r="W140" i="1"/>
  <c r="Z139" i="1"/>
  <c r="Y139" i="1"/>
  <c r="X139" i="1"/>
  <c r="W139" i="1"/>
  <c r="Z138" i="1"/>
  <c r="Y138" i="1"/>
  <c r="X138" i="1"/>
  <c r="W138" i="1"/>
  <c r="Z137" i="1"/>
  <c r="Y137" i="1"/>
  <c r="X137" i="1"/>
  <c r="W137" i="1"/>
  <c r="Z136" i="1"/>
  <c r="Y136" i="1"/>
  <c r="X136" i="1"/>
  <c r="W136" i="1"/>
  <c r="Z135" i="1"/>
  <c r="Y135" i="1"/>
  <c r="X135" i="1"/>
  <c r="W135" i="1"/>
  <c r="Z134" i="1"/>
  <c r="Y134" i="1"/>
  <c r="X134" i="1"/>
  <c r="W134" i="1"/>
  <c r="Z133" i="1"/>
  <c r="Y133" i="1"/>
  <c r="X133" i="1"/>
  <c r="W133" i="1"/>
  <c r="Z132" i="1"/>
  <c r="Y132" i="1"/>
  <c r="X132" i="1"/>
  <c r="W132" i="1"/>
  <c r="Z131" i="1"/>
  <c r="Y131" i="1"/>
  <c r="X131" i="1"/>
  <c r="W131" i="1"/>
  <c r="Z130" i="1"/>
  <c r="Y130" i="1"/>
  <c r="X130" i="1"/>
  <c r="W130" i="1"/>
  <c r="Z129" i="1"/>
  <c r="Y129" i="1"/>
  <c r="X129" i="1"/>
  <c r="W129" i="1"/>
  <c r="Z128" i="1"/>
  <c r="Y128" i="1"/>
  <c r="X128" i="1"/>
  <c r="W128" i="1"/>
  <c r="Z127" i="1"/>
  <c r="Y127" i="1"/>
  <c r="X127" i="1"/>
  <c r="W127" i="1"/>
  <c r="Z126" i="1"/>
  <c r="Y126" i="1"/>
  <c r="X126" i="1"/>
  <c r="W126" i="1"/>
  <c r="Z125" i="1"/>
  <c r="Y125" i="1"/>
  <c r="X125" i="1"/>
  <c r="W125" i="1"/>
  <c r="Z124" i="1"/>
  <c r="Y124" i="1"/>
  <c r="X124" i="1"/>
  <c r="W124" i="1"/>
  <c r="Z123" i="1"/>
  <c r="Y123" i="1"/>
  <c r="X123" i="1"/>
  <c r="W123" i="1"/>
  <c r="Z122" i="1"/>
  <c r="Y122" i="1"/>
  <c r="X122" i="1"/>
  <c r="W122" i="1"/>
  <c r="Z121" i="1"/>
  <c r="Y121" i="1"/>
  <c r="X121" i="1"/>
  <c r="W121" i="1"/>
  <c r="Z120" i="1"/>
  <c r="Y120" i="1"/>
  <c r="X120" i="1"/>
  <c r="W120" i="1"/>
  <c r="Z119" i="1"/>
  <c r="Y119" i="1"/>
  <c r="X119" i="1"/>
  <c r="W119" i="1"/>
  <c r="Z118" i="1"/>
  <c r="Y118" i="1"/>
  <c r="X118" i="1"/>
  <c r="W118" i="1"/>
  <c r="Z117" i="1"/>
  <c r="Y117" i="1"/>
  <c r="X117" i="1"/>
  <c r="W117" i="1"/>
  <c r="Z116" i="1"/>
  <c r="Y116" i="1"/>
  <c r="X116" i="1"/>
  <c r="W116" i="1"/>
  <c r="Z115" i="1"/>
  <c r="Y115" i="1"/>
  <c r="X115" i="1"/>
  <c r="W115" i="1"/>
  <c r="Z114" i="1"/>
  <c r="Y114" i="1"/>
  <c r="X114" i="1"/>
  <c r="W114" i="1"/>
  <c r="Z113" i="1"/>
  <c r="Y113" i="1"/>
  <c r="X113" i="1"/>
  <c r="W113" i="1"/>
  <c r="Z112" i="1"/>
  <c r="Y112" i="1"/>
  <c r="X112" i="1"/>
  <c r="W112" i="1"/>
  <c r="Z111" i="1"/>
  <c r="Y111" i="1"/>
  <c r="X111" i="1"/>
  <c r="W111" i="1"/>
  <c r="Z110" i="1"/>
  <c r="Y110" i="1"/>
  <c r="X110" i="1"/>
  <c r="W110" i="1"/>
  <c r="Z109" i="1"/>
  <c r="Y109" i="1"/>
  <c r="X109" i="1"/>
  <c r="W109" i="1"/>
  <c r="Z108" i="1"/>
  <c r="Y108" i="1"/>
  <c r="X108" i="1"/>
  <c r="W108" i="1"/>
  <c r="Z107" i="1"/>
  <c r="Y107" i="1"/>
  <c r="X107" i="1"/>
  <c r="W107" i="1"/>
  <c r="Z106" i="1"/>
  <c r="Y106" i="1"/>
  <c r="X106" i="1"/>
  <c r="W106" i="1"/>
  <c r="Z105" i="1"/>
  <c r="Y105" i="1"/>
  <c r="X105" i="1"/>
  <c r="W105" i="1"/>
  <c r="Z104" i="1"/>
  <c r="Y104" i="1"/>
  <c r="X104" i="1"/>
  <c r="W104" i="1"/>
  <c r="Z103" i="1"/>
  <c r="Y103" i="1"/>
  <c r="X103" i="1"/>
  <c r="W103" i="1"/>
  <c r="Z102" i="1"/>
  <c r="Y102" i="1"/>
  <c r="X102" i="1"/>
  <c r="W102" i="1"/>
  <c r="Z101" i="1"/>
  <c r="Y101" i="1"/>
  <c r="X101" i="1"/>
  <c r="W101" i="1"/>
  <c r="Z100" i="1"/>
  <c r="Y100" i="1"/>
  <c r="X100" i="1"/>
  <c r="W100" i="1"/>
  <c r="Z99" i="1"/>
  <c r="Y99" i="1"/>
  <c r="X99" i="1"/>
  <c r="W99" i="1"/>
  <c r="Z98" i="1"/>
  <c r="Y98" i="1"/>
  <c r="X98" i="1"/>
  <c r="W98" i="1"/>
  <c r="Z97" i="1"/>
  <c r="Y97" i="1"/>
  <c r="X97" i="1"/>
  <c r="W97" i="1"/>
  <c r="Z96" i="1"/>
  <c r="Y96" i="1"/>
  <c r="X96" i="1"/>
  <c r="W96" i="1"/>
  <c r="Z95" i="1"/>
  <c r="Y95" i="1"/>
  <c r="X95" i="1"/>
  <c r="W95" i="1"/>
  <c r="Z94" i="1"/>
  <c r="Y94" i="1"/>
  <c r="X94" i="1"/>
  <c r="W94" i="1"/>
  <c r="Z93" i="1"/>
  <c r="Y93" i="1"/>
  <c r="X93" i="1"/>
  <c r="W93" i="1"/>
  <c r="Z92" i="1"/>
  <c r="Y92" i="1"/>
  <c r="X92" i="1"/>
  <c r="W92" i="1"/>
  <c r="Z91" i="1"/>
  <c r="Y91" i="1"/>
  <c r="X91" i="1"/>
  <c r="W91" i="1"/>
  <c r="Z90" i="1"/>
  <c r="Y90" i="1"/>
  <c r="X90" i="1"/>
  <c r="W90" i="1"/>
  <c r="Z89" i="1"/>
  <c r="Y89" i="1"/>
  <c r="X89" i="1"/>
  <c r="W89" i="1"/>
  <c r="Z88" i="1"/>
  <c r="Y88" i="1"/>
  <c r="X88" i="1"/>
  <c r="W88" i="1"/>
  <c r="Z87" i="1"/>
  <c r="Y87" i="1"/>
  <c r="X87" i="1"/>
  <c r="W87" i="1"/>
  <c r="Z86" i="1"/>
  <c r="Y86" i="1"/>
  <c r="X86" i="1"/>
  <c r="W86" i="1"/>
  <c r="Z85" i="1"/>
  <c r="Y85" i="1"/>
  <c r="X85" i="1"/>
  <c r="W85" i="1"/>
  <c r="Z84" i="1"/>
  <c r="Y84" i="1"/>
  <c r="X84" i="1"/>
  <c r="W84" i="1"/>
  <c r="Z83" i="1"/>
  <c r="Y83" i="1"/>
  <c r="X83" i="1"/>
  <c r="W83" i="1"/>
  <c r="Z82" i="1"/>
  <c r="Y82" i="1"/>
  <c r="X82" i="1"/>
  <c r="W82" i="1"/>
  <c r="Z81" i="1"/>
  <c r="Y81" i="1"/>
  <c r="X81" i="1"/>
  <c r="W81" i="1"/>
  <c r="Z80" i="1"/>
  <c r="Y80" i="1"/>
  <c r="X80" i="1"/>
  <c r="W80" i="1"/>
  <c r="Z79" i="1"/>
  <c r="Y79" i="1"/>
  <c r="X79" i="1"/>
  <c r="W79" i="1"/>
  <c r="Z78" i="1"/>
  <c r="Y78" i="1"/>
  <c r="X78" i="1"/>
  <c r="W78" i="1"/>
  <c r="Z77" i="1"/>
  <c r="Y77" i="1"/>
  <c r="X77" i="1"/>
  <c r="W77" i="1"/>
  <c r="Z76" i="1"/>
  <c r="Y76" i="1"/>
  <c r="X76" i="1"/>
  <c r="W76" i="1"/>
  <c r="Z75" i="1"/>
  <c r="Y75" i="1"/>
  <c r="X75" i="1"/>
  <c r="W75" i="1"/>
  <c r="Z74" i="1"/>
  <c r="Y74" i="1"/>
  <c r="X74" i="1"/>
  <c r="W74" i="1"/>
  <c r="Z73" i="1"/>
  <c r="Y73" i="1"/>
  <c r="X73" i="1"/>
  <c r="W73" i="1"/>
  <c r="Z72" i="1"/>
  <c r="Y72" i="1"/>
  <c r="X72" i="1"/>
  <c r="W72" i="1"/>
  <c r="Z71" i="1"/>
  <c r="Y71" i="1"/>
  <c r="X71" i="1"/>
  <c r="W71" i="1"/>
  <c r="Z70" i="1"/>
  <c r="Y70" i="1"/>
  <c r="X70" i="1"/>
  <c r="W70" i="1"/>
  <c r="Z69" i="1"/>
  <c r="Y69" i="1"/>
  <c r="X69" i="1"/>
  <c r="W69" i="1"/>
  <c r="Z68" i="1"/>
  <c r="Y68" i="1"/>
  <c r="X68" i="1"/>
  <c r="W68" i="1"/>
  <c r="Z67" i="1"/>
  <c r="Y67" i="1"/>
  <c r="X67" i="1"/>
  <c r="W67" i="1"/>
  <c r="Z66" i="1"/>
  <c r="Y66" i="1"/>
  <c r="X66" i="1"/>
  <c r="W66" i="1"/>
  <c r="Z65" i="1"/>
  <c r="Y65" i="1"/>
  <c r="X65" i="1"/>
  <c r="W65" i="1"/>
  <c r="Z64" i="1"/>
  <c r="Y64" i="1"/>
  <c r="X64" i="1"/>
  <c r="W64" i="1"/>
  <c r="Z63" i="1"/>
  <c r="Y63" i="1"/>
  <c r="X63" i="1"/>
  <c r="W63" i="1"/>
  <c r="Z62" i="1"/>
  <c r="Y62" i="1"/>
  <c r="X62" i="1"/>
  <c r="W62" i="1"/>
  <c r="Z61" i="1"/>
  <c r="Y61" i="1"/>
  <c r="X61" i="1"/>
  <c r="W61" i="1"/>
  <c r="Z60" i="1"/>
  <c r="Y60" i="1"/>
  <c r="X60" i="1"/>
  <c r="W60" i="1"/>
  <c r="Z59" i="1"/>
  <c r="Y59" i="1"/>
  <c r="X59" i="1"/>
  <c r="W59" i="1"/>
  <c r="Z58" i="1"/>
  <c r="Y58" i="1"/>
  <c r="X58" i="1"/>
  <c r="W58" i="1"/>
  <c r="Z57" i="1"/>
  <c r="Y57" i="1"/>
  <c r="X57" i="1"/>
  <c r="W57" i="1"/>
  <c r="Z56" i="1"/>
  <c r="Y56" i="1"/>
  <c r="X56" i="1"/>
  <c r="W56" i="1"/>
  <c r="Z55" i="1"/>
  <c r="Y55" i="1"/>
  <c r="X55" i="1"/>
  <c r="W55" i="1"/>
  <c r="Z54" i="1"/>
  <c r="Y54" i="1"/>
  <c r="X54" i="1"/>
  <c r="W54" i="1"/>
  <c r="Z53" i="1"/>
  <c r="Y53" i="1"/>
  <c r="X53" i="1"/>
  <c r="W53" i="1"/>
  <c r="Z52" i="1"/>
  <c r="Y52" i="1"/>
  <c r="X52" i="1"/>
  <c r="W52" i="1"/>
  <c r="Z51" i="1"/>
  <c r="Y51" i="1"/>
  <c r="X51" i="1"/>
  <c r="W51" i="1"/>
  <c r="Z50" i="1"/>
  <c r="Y50" i="1"/>
  <c r="X50" i="1"/>
  <c r="W50" i="1"/>
  <c r="Z49" i="1"/>
  <c r="Y49" i="1"/>
  <c r="X49" i="1"/>
  <c r="W49" i="1"/>
  <c r="Z48" i="1"/>
  <c r="Y48" i="1"/>
  <c r="X48" i="1"/>
  <c r="W48" i="1"/>
  <c r="Z47" i="1"/>
  <c r="Y47" i="1"/>
  <c r="X47" i="1"/>
  <c r="W47" i="1"/>
  <c r="Z46" i="1"/>
  <c r="Y46" i="1"/>
  <c r="X46" i="1"/>
  <c r="W46" i="1"/>
  <c r="Z45" i="1"/>
  <c r="Y45" i="1"/>
  <c r="X45" i="1"/>
  <c r="W45" i="1"/>
  <c r="Z44" i="1"/>
  <c r="Y44" i="1"/>
  <c r="X44" i="1"/>
  <c r="W44" i="1"/>
  <c r="Z43" i="1"/>
  <c r="Y43" i="1"/>
  <c r="X43" i="1"/>
  <c r="W43" i="1"/>
  <c r="Z42" i="1"/>
  <c r="Y42" i="1"/>
  <c r="X42" i="1"/>
  <c r="W42" i="1"/>
  <c r="Z41" i="1"/>
  <c r="Y41" i="1"/>
  <c r="X41" i="1"/>
  <c r="W41" i="1"/>
  <c r="Z40" i="1"/>
  <c r="Y40" i="1"/>
  <c r="X40" i="1"/>
  <c r="W40" i="1"/>
  <c r="Z39" i="1"/>
  <c r="Y39" i="1"/>
  <c r="X39" i="1"/>
  <c r="W39" i="1"/>
  <c r="Z38" i="1"/>
  <c r="Y38" i="1"/>
  <c r="X38" i="1"/>
  <c r="W38" i="1"/>
  <c r="Z37" i="1"/>
  <c r="Y37" i="1"/>
  <c r="X37" i="1"/>
  <c r="W37" i="1"/>
  <c r="Z36" i="1"/>
  <c r="Y36" i="1"/>
  <c r="X36" i="1"/>
  <c r="W36" i="1"/>
  <c r="Z35" i="1"/>
  <c r="Y35" i="1"/>
  <c r="X35" i="1"/>
  <c r="W35" i="1"/>
  <c r="Z34" i="1"/>
  <c r="Y34" i="1"/>
  <c r="X34" i="1"/>
  <c r="W34" i="1"/>
  <c r="Z33" i="1"/>
  <c r="Y33" i="1"/>
  <c r="X33" i="1"/>
  <c r="W33" i="1"/>
  <c r="Z32" i="1"/>
  <c r="Y32" i="1"/>
  <c r="X32" i="1"/>
  <c r="W32" i="1"/>
  <c r="Z31" i="1"/>
  <c r="Y31" i="1"/>
  <c r="X31" i="1"/>
  <c r="W31" i="1"/>
  <c r="Z30" i="1"/>
  <c r="Y30" i="1"/>
  <c r="X30" i="1"/>
  <c r="W30" i="1"/>
  <c r="Z29" i="1"/>
  <c r="Y29" i="1"/>
  <c r="X29" i="1"/>
  <c r="W29" i="1"/>
  <c r="Z28" i="1"/>
  <c r="Y28" i="1"/>
  <c r="X28" i="1"/>
  <c r="W28" i="1"/>
  <c r="Z27" i="1"/>
  <c r="Y27" i="1"/>
  <c r="X27" i="1"/>
  <c r="W27" i="1"/>
  <c r="Z26" i="1"/>
  <c r="Y26" i="1"/>
  <c r="X26" i="1"/>
  <c r="W26" i="1"/>
  <c r="Z25" i="1"/>
  <c r="Y25" i="1"/>
  <c r="X25" i="1"/>
  <c r="W25" i="1"/>
  <c r="Z24" i="1"/>
  <c r="Y24" i="1"/>
  <c r="X24" i="1"/>
  <c r="W24" i="1"/>
  <c r="Z23" i="1"/>
  <c r="Y23" i="1"/>
  <c r="X23" i="1"/>
  <c r="W23" i="1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Z3" i="1"/>
  <c r="Y3" i="1"/>
  <c r="X3" i="1"/>
  <c r="W3" i="1"/>
  <c r="Z2" i="1"/>
  <c r="Y2" i="1"/>
  <c r="X2" i="1"/>
  <c r="W2" i="1"/>
</calcChain>
</file>

<file path=xl/sharedStrings.xml><?xml version="1.0" encoding="utf-8"?>
<sst xmlns="http://schemas.openxmlformats.org/spreadsheetml/2006/main" count="7127" uniqueCount="1332">
  <si>
    <t>Order ID</t>
  </si>
  <si>
    <t>Invoice ID</t>
  </si>
  <si>
    <t>Order Date</t>
  </si>
  <si>
    <t>Month</t>
  </si>
  <si>
    <t>City</t>
  </si>
  <si>
    <t>Customer ID</t>
  </si>
  <si>
    <t>Customer Name</t>
  </si>
  <si>
    <t>Gender</t>
  </si>
  <si>
    <t>Customer Type</t>
  </si>
  <si>
    <t>Product Category</t>
  </si>
  <si>
    <t>Product Name</t>
  </si>
  <si>
    <t>Brand</t>
  </si>
  <si>
    <t>Quantity</t>
  </si>
  <si>
    <t>Unit Price</t>
  </si>
  <si>
    <t>Discount %</t>
  </si>
  <si>
    <t>Sales</t>
  </si>
  <si>
    <t>Cost</t>
  </si>
  <si>
    <t>Profit</t>
  </si>
  <si>
    <t>Payment Mode</t>
  </si>
  <si>
    <t>Customer Rating</t>
  </si>
  <si>
    <t>Delivery Status</t>
  </si>
  <si>
    <t>Sales Executive</t>
  </si>
  <si>
    <t>Profit Margin%</t>
  </si>
  <si>
    <t>Customer Segment</t>
  </si>
  <si>
    <t>order Size</t>
  </si>
  <si>
    <t>Day</t>
  </si>
  <si>
    <t>ORD1001</t>
  </si>
  <si>
    <t>INV5001</t>
  </si>
  <si>
    <t>May</t>
  </si>
  <si>
    <t>Faridabad</t>
  </si>
  <si>
    <t>CUST2042</t>
  </si>
  <si>
    <t>Aditi Gupta</t>
  </si>
  <si>
    <t>Female</t>
  </si>
  <si>
    <t>Retail</t>
  </si>
  <si>
    <t>Window Cooler</t>
  </si>
  <si>
    <t>Ozone</t>
  </si>
  <si>
    <t>Crompton</t>
  </si>
  <si>
    <t>UPI</t>
  </si>
  <si>
    <t>In Transit</t>
  </si>
  <si>
    <t>Priya</t>
  </si>
  <si>
    <t>ORD1002</t>
  </si>
  <si>
    <t>INV5002</t>
  </si>
  <si>
    <t>June</t>
  </si>
  <si>
    <t>Muradabad</t>
  </si>
  <si>
    <t>CUST2135</t>
  </si>
  <si>
    <t>Dev Sharma</t>
  </si>
  <si>
    <t>Male</t>
  </si>
  <si>
    <t>Personal Cooler</t>
  </si>
  <si>
    <t>PX97 Torque</t>
  </si>
  <si>
    <t>Bajaj</t>
  </si>
  <si>
    <t>Cash</t>
  </si>
  <si>
    <t>Delivered</t>
  </si>
  <si>
    <t>Neha</t>
  </si>
  <si>
    <t>ORD1003</t>
  </si>
  <si>
    <t>INV5003</t>
  </si>
  <si>
    <t>Ghaziabad</t>
  </si>
  <si>
    <t>CUST2115</t>
  </si>
  <si>
    <t>Yash Gupta</t>
  </si>
  <si>
    <t>Dealer</t>
  </si>
  <si>
    <t>Desert Cooler</t>
  </si>
  <si>
    <t>Symphony Diet 35T</t>
  </si>
  <si>
    <t>Symphony</t>
  </si>
  <si>
    <t>Bank Transfer</t>
  </si>
  <si>
    <t>Rahul</t>
  </si>
  <si>
    <t>ORD1004</t>
  </si>
  <si>
    <t>INV5004</t>
  </si>
  <si>
    <t>Meerut</t>
  </si>
  <si>
    <t>CUST2177</t>
  </si>
  <si>
    <t>Mehak Sharma</t>
  </si>
  <si>
    <t>Fresco</t>
  </si>
  <si>
    <t>Orient</t>
  </si>
  <si>
    <t>ORD1005</t>
  </si>
  <si>
    <t>INV5005</t>
  </si>
  <si>
    <t>CUST2173</t>
  </si>
  <si>
    <t>Saurabh Sharma</t>
  </si>
  <si>
    <t>Mohit</t>
  </si>
  <si>
    <t>ORD1006</t>
  </si>
  <si>
    <t>INV5006</t>
  </si>
  <si>
    <t>Greater Noida</t>
  </si>
  <si>
    <t>CUST2072</t>
  </si>
  <si>
    <t>Aditya Jain</t>
  </si>
  <si>
    <t>Card</t>
  </si>
  <si>
    <t>ORD1007</t>
  </si>
  <si>
    <t>INV5007</t>
  </si>
  <si>
    <t>CUST2165</t>
  </si>
  <si>
    <t>Pooja Jain</t>
  </si>
  <si>
    <t>Aman</t>
  </si>
  <si>
    <t>ORD1008</t>
  </si>
  <si>
    <t>INV5008</t>
  </si>
  <si>
    <t>CUST2066</t>
  </si>
  <si>
    <t>Cancelled</t>
  </si>
  <si>
    <t>ORD1009</t>
  </si>
  <si>
    <t>INV5009</t>
  </si>
  <si>
    <t>CUST2003</t>
  </si>
  <si>
    <t>Nikhil Arora</t>
  </si>
  <si>
    <t>Optimus 100</t>
  </si>
  <si>
    <t>ORD1010</t>
  </si>
  <si>
    <t>INV5010</t>
  </si>
  <si>
    <t>CUST2166</t>
  </si>
  <si>
    <t>Tushar Singh</t>
  </si>
  <si>
    <t>ORD1011</t>
  </si>
  <si>
    <t>INV5011</t>
  </si>
  <si>
    <t>Hapur</t>
  </si>
  <si>
    <t>CUST2088</t>
  </si>
  <si>
    <t>Nikita Kapoor</t>
  </si>
  <si>
    <t>ORD1012</t>
  </si>
  <si>
    <t>INV5012</t>
  </si>
  <si>
    <t>CUST2130</t>
  </si>
  <si>
    <t>Shreya Kapoor</t>
  </si>
  <si>
    <t>ORD1013</t>
  </si>
  <si>
    <t>INV5013</t>
  </si>
  <si>
    <t>CUST2125</t>
  </si>
  <si>
    <t>ORD1014</t>
  </si>
  <si>
    <t>INV5014</t>
  </si>
  <si>
    <t>CUST2030</t>
  </si>
  <si>
    <t>Sakshi Gupta</t>
  </si>
  <si>
    <t>Karan</t>
  </si>
  <si>
    <t>ORD1015</t>
  </si>
  <si>
    <t>INV5015</t>
  </si>
  <si>
    <t>CUST2104</t>
  </si>
  <si>
    <t>Abhishek Goel</t>
  </si>
  <si>
    <t>ORD1016</t>
  </si>
  <si>
    <t>INV5016</t>
  </si>
  <si>
    <t>CUST2005</t>
  </si>
  <si>
    <t>Akash Tyagi</t>
  </si>
  <si>
    <t>ORD1017</t>
  </si>
  <si>
    <t>INV5017</t>
  </si>
  <si>
    <t>CUST2067</t>
  </si>
  <si>
    <t>Fan Motor</t>
  </si>
  <si>
    <t>Cooler Motor</t>
  </si>
  <si>
    <t>Generic</t>
  </si>
  <si>
    <t>ORD1018</t>
  </si>
  <si>
    <t>INV5018</t>
  </si>
  <si>
    <t>Noida</t>
  </si>
  <si>
    <t>Gaurav Mittal</t>
  </si>
  <si>
    <t>ORD1019</t>
  </si>
  <si>
    <t>INV5019</t>
  </si>
  <si>
    <t>CUST2075</t>
  </si>
  <si>
    <t>Ishita Gupta</t>
  </si>
  <si>
    <t>ORD1020</t>
  </si>
  <si>
    <t>INV5020</t>
  </si>
  <si>
    <t>Lakshya Jain</t>
  </si>
  <si>
    <t>ORD1021</t>
  </si>
  <si>
    <t>INV5021</t>
  </si>
  <si>
    <t>CUST2034</t>
  </si>
  <si>
    <t>ORD1022</t>
  </si>
  <si>
    <t>INV5022</t>
  </si>
  <si>
    <t>CUST2082</t>
  </si>
  <si>
    <t>Tanvi Bhatia</t>
  </si>
  <si>
    <t>Voltage Stabilizer</t>
  </si>
  <si>
    <t>VG4000</t>
  </si>
  <si>
    <t>V-Guard</t>
  </si>
  <si>
    <t>ORD1023</t>
  </si>
  <si>
    <t>INV5023</t>
  </si>
  <si>
    <t>CUST2142</t>
  </si>
  <si>
    <t>ORD1024</t>
  </si>
  <si>
    <t>INV5024</t>
  </si>
  <si>
    <t>CUST2014</t>
  </si>
  <si>
    <t>ORD1025</t>
  </si>
  <si>
    <t>INV5025</t>
  </si>
  <si>
    <t>CUST2060</t>
  </si>
  <si>
    <t>Ritu Singh</t>
  </si>
  <si>
    <t>ORD1026</t>
  </si>
  <si>
    <t>INV5026</t>
  </si>
  <si>
    <t>CUST2110</t>
  </si>
  <si>
    <t>ORD1027</t>
  </si>
  <si>
    <t>INV5027</t>
  </si>
  <si>
    <t>CUST2018</t>
  </si>
  <si>
    <t>Khushi Singh</t>
  </si>
  <si>
    <t>Tower Cooler</t>
  </si>
  <si>
    <t>TallDe</t>
  </si>
  <si>
    <t>Kenstar</t>
  </si>
  <si>
    <t>ORD1028</t>
  </si>
  <si>
    <t>INV5028</t>
  </si>
  <si>
    <t>CUST2012</t>
  </si>
  <si>
    <t>Anjali Sharma</t>
  </si>
  <si>
    <t>ORD1029</t>
  </si>
  <si>
    <t>INV5029</t>
  </si>
  <si>
    <t>CUST2092</t>
  </si>
  <si>
    <t>ORD1030</t>
  </si>
  <si>
    <t>INV5030</t>
  </si>
  <si>
    <t>CUST2043</t>
  </si>
  <si>
    <t>Harsh Jain</t>
  </si>
  <si>
    <t>ORD1031</t>
  </si>
  <si>
    <t>INV5031</t>
  </si>
  <si>
    <t>CUST2054</t>
  </si>
  <si>
    <t>Simran Kaur</t>
  </si>
  <si>
    <t>ORD1032</t>
  </si>
  <si>
    <t>INV5032</t>
  </si>
  <si>
    <t>CUST2025</t>
  </si>
  <si>
    <t>ORD1033</t>
  </si>
  <si>
    <t>INV5033</t>
  </si>
  <si>
    <t>CUST2095</t>
  </si>
  <si>
    <t>Priya Singh</t>
  </si>
  <si>
    <t>ORD1034</t>
  </si>
  <si>
    <t>INV5034</t>
  </si>
  <si>
    <t>Modinagar</t>
  </si>
  <si>
    <t>CUST2180</t>
  </si>
  <si>
    <t>Neha Gupta</t>
  </si>
  <si>
    <t>Cooling Pad</t>
  </si>
  <si>
    <t>Honeycomb Pad</t>
  </si>
  <si>
    <t>ORD1035</t>
  </si>
  <si>
    <t>INV5035</t>
  </si>
  <si>
    <t>CUST2098</t>
  </si>
  <si>
    <t>Rohan Kapoor</t>
  </si>
  <si>
    <t>ORD1036</t>
  </si>
  <si>
    <t>INV5036</t>
  </si>
  <si>
    <t>CUST2178</t>
  </si>
  <si>
    <t>ORD1037</t>
  </si>
  <si>
    <t>INV5037</t>
  </si>
  <si>
    <t>CUST2161</t>
  </si>
  <si>
    <t>Kavya Verma</t>
  </si>
  <si>
    <t>ORD1038</t>
  </si>
  <si>
    <t>INV5038</t>
  </si>
  <si>
    <t>CUST2134</t>
  </si>
  <si>
    <t>ORD1039</t>
  </si>
  <si>
    <t>INV5039</t>
  </si>
  <si>
    <t>CUST2175</t>
  </si>
  <si>
    <t>Ankit Gupta</t>
  </si>
  <si>
    <t>ORD1040</t>
  </si>
  <si>
    <t>INV5040</t>
  </si>
  <si>
    <t>CUST2129</t>
  </si>
  <si>
    <t>ORD1041</t>
  </si>
  <si>
    <t>INV5041</t>
  </si>
  <si>
    <t>CUST2181</t>
  </si>
  <si>
    <t>Palak Goel</t>
  </si>
  <si>
    <t>ORD1042</t>
  </si>
  <si>
    <t>INV5042</t>
  </si>
  <si>
    <t>CUST2046</t>
  </si>
  <si>
    <t>Komal Sharma</t>
  </si>
  <si>
    <t>ORD1043</t>
  </si>
  <si>
    <t>INV5043</t>
  </si>
  <si>
    <t>CUST2089</t>
  </si>
  <si>
    <t>ORD1044</t>
  </si>
  <si>
    <t>INV5044</t>
  </si>
  <si>
    <t>Deepak Chauhan</t>
  </si>
  <si>
    <t>ORD1045</t>
  </si>
  <si>
    <t>INV5045</t>
  </si>
  <si>
    <t>CUST2168</t>
  </si>
  <si>
    <t>Rahul Sharma</t>
  </si>
  <si>
    <t>ORD1046</t>
  </si>
  <si>
    <t>INV5046</t>
  </si>
  <si>
    <t>CUST2010</t>
  </si>
  <si>
    <t>ORD1047</t>
  </si>
  <si>
    <t>INV5047</t>
  </si>
  <si>
    <t>Manish Agarwal</t>
  </si>
  <si>
    <t>ORD1048</t>
  </si>
  <si>
    <t>INV5048</t>
  </si>
  <si>
    <t>CUST2083</t>
  </si>
  <si>
    <t>Muskan Goel</t>
  </si>
  <si>
    <t>ORD1049</t>
  </si>
  <si>
    <t>INV5049</t>
  </si>
  <si>
    <t>CUST2117</t>
  </si>
  <si>
    <t>ORD1050</t>
  </si>
  <si>
    <t>INV5050</t>
  </si>
  <si>
    <t>CUST2050</t>
  </si>
  <si>
    <t>ORD1051</t>
  </si>
  <si>
    <t>INV5051</t>
  </si>
  <si>
    <t>ORD1052</t>
  </si>
  <si>
    <t>INV5052</t>
  </si>
  <si>
    <t>CUST2090</t>
  </si>
  <si>
    <t>Divya Arora</t>
  </si>
  <si>
    <t>ORD1053</t>
  </si>
  <si>
    <t>INV5053</t>
  </si>
  <si>
    <t>CUST2100</t>
  </si>
  <si>
    <t>ORD1054</t>
  </si>
  <si>
    <t>INV5054</t>
  </si>
  <si>
    <t>ORD1055</t>
  </si>
  <si>
    <t>INV5055</t>
  </si>
  <si>
    <t>CUST2102</t>
  </si>
  <si>
    <t>ORD1056</t>
  </si>
  <si>
    <t>INV5056</t>
  </si>
  <si>
    <t>ORD1057</t>
  </si>
  <si>
    <t>INV5057</t>
  </si>
  <si>
    <t>CUST2123</t>
  </si>
  <si>
    <t>ORD1058</t>
  </si>
  <si>
    <t>INV5058</t>
  </si>
  <si>
    <t>CUST2027</t>
  </si>
  <si>
    <t>ORD1059</t>
  </si>
  <si>
    <t>INV5059</t>
  </si>
  <si>
    <t>ORD1060</t>
  </si>
  <si>
    <t>INV5060</t>
  </si>
  <si>
    <t>CUST2172</t>
  </si>
  <si>
    <t>Naina Arora</t>
  </si>
  <si>
    <t>ORD1061</t>
  </si>
  <si>
    <t>INV5061</t>
  </si>
  <si>
    <t>Shivam Verma</t>
  </si>
  <si>
    <t>ORD1062</t>
  </si>
  <si>
    <t>INV5062</t>
  </si>
  <si>
    <t>ORD1063</t>
  </si>
  <si>
    <t>INV5063</t>
  </si>
  <si>
    <t>CUST2074</t>
  </si>
  <si>
    <t>Ayush Garg</t>
  </si>
  <si>
    <t>ORD1064</t>
  </si>
  <si>
    <t>INV5064</t>
  </si>
  <si>
    <t>ORD1065</t>
  </si>
  <si>
    <t>INV5065</t>
  </si>
  <si>
    <t>CUST2032</t>
  </si>
  <si>
    <t>ORD1066</t>
  </si>
  <si>
    <t>INV5066</t>
  </si>
  <si>
    <t>CUST2033</t>
  </si>
  <si>
    <t>ORD1067</t>
  </si>
  <si>
    <t>INV5067</t>
  </si>
  <si>
    <t>ORD1068</t>
  </si>
  <si>
    <t>INV5068</t>
  </si>
  <si>
    <t>ORD1069</t>
  </si>
  <si>
    <t>INV5069</t>
  </si>
  <si>
    <t>CUST2113</t>
  </si>
  <si>
    <t>ORD1070</t>
  </si>
  <si>
    <t>INV5070</t>
  </si>
  <si>
    <t>CUST2021</t>
  </si>
  <si>
    <t>Mohit Yadav</t>
  </si>
  <si>
    <t>ORD1071</t>
  </si>
  <si>
    <t>INV5071</t>
  </si>
  <si>
    <t>ORD1072</t>
  </si>
  <si>
    <t>INV5072</t>
  </si>
  <si>
    <t>CUST2041</t>
  </si>
  <si>
    <t>ORD1073</t>
  </si>
  <si>
    <t>INV5073</t>
  </si>
  <si>
    <t>ORD1074</t>
  </si>
  <si>
    <t>INV5074</t>
  </si>
  <si>
    <t>CUST2055</t>
  </si>
  <si>
    <t>Riya Bansal</t>
  </si>
  <si>
    <t>ORD1075</t>
  </si>
  <si>
    <t>INV5075</t>
  </si>
  <si>
    <t>CUST2103</t>
  </si>
  <si>
    <t>ORD1076</t>
  </si>
  <si>
    <t>INV5076</t>
  </si>
  <si>
    <t>ORD1077</t>
  </si>
  <si>
    <t>INV5077</t>
  </si>
  <si>
    <t>CUST2153</t>
  </si>
  <si>
    <t>ORD1078</t>
  </si>
  <si>
    <t>INV5078</t>
  </si>
  <si>
    <t>CUST2052</t>
  </si>
  <si>
    <t>ORD1079</t>
  </si>
  <si>
    <t>INV5079</t>
  </si>
  <si>
    <t>ORD1080</t>
  </si>
  <si>
    <t>INV5080</t>
  </si>
  <si>
    <t>CUST2164</t>
  </si>
  <si>
    <t>ORD1081</t>
  </si>
  <si>
    <t>INV5081</t>
  </si>
  <si>
    <t>CUST2097</t>
  </si>
  <si>
    <t>Varun Goyal</t>
  </si>
  <si>
    <t>ORD1082</t>
  </si>
  <si>
    <t>INV5082</t>
  </si>
  <si>
    <t>CUST2069</t>
  </si>
  <si>
    <t>ORD1083</t>
  </si>
  <si>
    <t>INV5083</t>
  </si>
  <si>
    <t>ORD1084</t>
  </si>
  <si>
    <t>INV5084</t>
  </si>
  <si>
    <t>CUST2108</t>
  </si>
  <si>
    <t>ORD1085</t>
  </si>
  <si>
    <t>INV5085</t>
  </si>
  <si>
    <t>ORD1086</t>
  </si>
  <si>
    <t>INV5086</t>
  </si>
  <si>
    <t>CUST2101</t>
  </si>
  <si>
    <t>ORD1087</t>
  </si>
  <si>
    <t>INV5087</t>
  </si>
  <si>
    <t>CUST2023</t>
  </si>
  <si>
    <t>ORD1088</t>
  </si>
  <si>
    <t>INV5088</t>
  </si>
  <si>
    <t>CUST2148</t>
  </si>
  <si>
    <t>ORD1089</t>
  </si>
  <si>
    <t>INV5089</t>
  </si>
  <si>
    <t>ORD1090</t>
  </si>
  <si>
    <t>INV5090</t>
  </si>
  <si>
    <t>CUST2170</t>
  </si>
  <si>
    <t>ORD1091</t>
  </si>
  <si>
    <t>INV5091</t>
  </si>
  <si>
    <t>ORD1092</t>
  </si>
  <si>
    <t>INV5092</t>
  </si>
  <si>
    <t>ORD1093</t>
  </si>
  <si>
    <t>INV5093</t>
  </si>
  <si>
    <t>ORD1094</t>
  </si>
  <si>
    <t>INV5094</t>
  </si>
  <si>
    <t>Ritika Jain</t>
  </si>
  <si>
    <t>ORD1095</t>
  </si>
  <si>
    <t>INV5095</t>
  </si>
  <si>
    <t>CUST2107</t>
  </si>
  <si>
    <t>ORD1096</t>
  </si>
  <si>
    <t>INV5096</t>
  </si>
  <si>
    <t>ORD1097</t>
  </si>
  <si>
    <t>INV5097</t>
  </si>
  <si>
    <t>CUST2138</t>
  </si>
  <si>
    <t>ORD1098</t>
  </si>
  <si>
    <t>INV5098</t>
  </si>
  <si>
    <t>CUST2176</t>
  </si>
  <si>
    <t>ORD1099</t>
  </si>
  <si>
    <t>INV5099</t>
  </si>
  <si>
    <t>Rohit Saxena</t>
  </si>
  <si>
    <t>ORD1100</t>
  </si>
  <si>
    <t>INV5100</t>
  </si>
  <si>
    <t>CUST2058</t>
  </si>
  <si>
    <t>ORD1101</t>
  </si>
  <si>
    <t>INV5101</t>
  </si>
  <si>
    <t>CUST2026</t>
  </si>
  <si>
    <t>ORD1102</t>
  </si>
  <si>
    <t>INV5102</t>
  </si>
  <si>
    <t>CUST2062</t>
  </si>
  <si>
    <t>ORD1103</t>
  </si>
  <si>
    <t>INV5103</t>
  </si>
  <si>
    <t>ORD1104</t>
  </si>
  <si>
    <t>INV5104</t>
  </si>
  <si>
    <t>ORD1105</t>
  </si>
  <si>
    <t>INV5105</t>
  </si>
  <si>
    <t>CUST2145</t>
  </si>
  <si>
    <t>ORD1106</t>
  </si>
  <si>
    <t>INV5106</t>
  </si>
  <si>
    <t>Vishal Verma</t>
  </si>
  <si>
    <t>ORD1107</t>
  </si>
  <si>
    <t>INV5107</t>
  </si>
  <si>
    <t>CUST2024</t>
  </si>
  <si>
    <t>Karan Mehta</t>
  </si>
  <si>
    <t>ORD1108</t>
  </si>
  <si>
    <t>INV5108</t>
  </si>
  <si>
    <t>ORD1109</t>
  </si>
  <si>
    <t>INV5109</t>
  </si>
  <si>
    <t>Chirag Bansal</t>
  </si>
  <si>
    <t>ORD1110</t>
  </si>
  <si>
    <t>INV5110</t>
  </si>
  <si>
    <t>CUST2133</t>
  </si>
  <si>
    <t>ORD1111</t>
  </si>
  <si>
    <t>INV5111</t>
  </si>
  <si>
    <t>CUST2131</t>
  </si>
  <si>
    <t>ORD1112</t>
  </si>
  <si>
    <t>INV5112</t>
  </si>
  <si>
    <t>CUST2137</t>
  </si>
  <si>
    <t>ORD1113</t>
  </si>
  <si>
    <t>INV5113</t>
  </si>
  <si>
    <t>CUST2013</t>
  </si>
  <si>
    <t>ORD1114</t>
  </si>
  <si>
    <t>INV5114</t>
  </si>
  <si>
    <t>CUST2004</t>
  </si>
  <si>
    <t>ORD1115</t>
  </si>
  <si>
    <t>INV5115</t>
  </si>
  <si>
    <t>CUST2028</t>
  </si>
  <si>
    <t>ORD1116</t>
  </si>
  <si>
    <t>INV5116</t>
  </si>
  <si>
    <t>CUST2154</t>
  </si>
  <si>
    <t>ORD1117</t>
  </si>
  <si>
    <t>INV5117</t>
  </si>
  <si>
    <t>ORD1118</t>
  </si>
  <si>
    <t>INV5118</t>
  </si>
  <si>
    <t>ORD1119</t>
  </si>
  <si>
    <t>INV5119</t>
  </si>
  <si>
    <t>CUST2049</t>
  </si>
  <si>
    <t>ORD1120</t>
  </si>
  <si>
    <t>INV5120</t>
  </si>
  <si>
    <t>CUST2093</t>
  </si>
  <si>
    <t>ORD1121</t>
  </si>
  <si>
    <t>INV5121</t>
  </si>
  <si>
    <t>CUST2071</t>
  </si>
  <si>
    <t>ORD1122</t>
  </si>
  <si>
    <t>INV5122</t>
  </si>
  <si>
    <t>Sneha Agarwal</t>
  </si>
  <si>
    <t>ORD1123</t>
  </si>
  <si>
    <t>INV5123</t>
  </si>
  <si>
    <t>CUST2169</t>
  </si>
  <si>
    <t>ORD1124</t>
  </si>
  <si>
    <t>INV5124</t>
  </si>
  <si>
    <t>ORD1125</t>
  </si>
  <si>
    <t>INV5125</t>
  </si>
  <si>
    <t>CUST2002</t>
  </si>
  <si>
    <t>ORD1126</t>
  </si>
  <si>
    <t>INV5126</t>
  </si>
  <si>
    <t>CUST2064</t>
  </si>
  <si>
    <t>ORD1127</t>
  </si>
  <si>
    <t>INV5127</t>
  </si>
  <si>
    <t>ORD1128</t>
  </si>
  <si>
    <t>INV5128</t>
  </si>
  <si>
    <t>ORD1129</t>
  </si>
  <si>
    <t>INV5129</t>
  </si>
  <si>
    <t>CUST2081</t>
  </si>
  <si>
    <t>ORD1130</t>
  </si>
  <si>
    <t>INV5130</t>
  </si>
  <si>
    <t>ORD1131</t>
  </si>
  <si>
    <t>INV5131</t>
  </si>
  <si>
    <t>CUST2015</t>
  </si>
  <si>
    <t>ORD1132</t>
  </si>
  <si>
    <t>INV5132</t>
  </si>
  <si>
    <t>ORD1133</t>
  </si>
  <si>
    <t>INV5133</t>
  </si>
  <si>
    <t>CUST2160</t>
  </si>
  <si>
    <t>ORD1134</t>
  </si>
  <si>
    <t>INV5134</t>
  </si>
  <si>
    <t>ORD1135</t>
  </si>
  <si>
    <t>INV5135</t>
  </si>
  <si>
    <t>CUST2017</t>
  </si>
  <si>
    <t>ORD1136</t>
  </si>
  <si>
    <t>INV5136</t>
  </si>
  <si>
    <t>CUST2039</t>
  </si>
  <si>
    <t>ORD1137</t>
  </si>
  <si>
    <t>INV5137</t>
  </si>
  <si>
    <t>CUST2031</t>
  </si>
  <si>
    <t>ORD1138</t>
  </si>
  <si>
    <t>INV5138</t>
  </si>
  <si>
    <t>CUST2105</t>
  </si>
  <si>
    <t>ORD1139</t>
  </si>
  <si>
    <t>INV5139</t>
  </si>
  <si>
    <t>ORD1140</t>
  </si>
  <si>
    <t>INV5140</t>
  </si>
  <si>
    <t>ORD1141</t>
  </si>
  <si>
    <t>INV5141</t>
  </si>
  <si>
    <t>CUST2087</t>
  </si>
  <si>
    <t>ORD1142</t>
  </si>
  <si>
    <t>INV5142</t>
  </si>
  <si>
    <t>CUST2036</t>
  </si>
  <si>
    <t>ORD1143</t>
  </si>
  <si>
    <t>INV5143</t>
  </si>
  <si>
    <t>CUST2008</t>
  </si>
  <si>
    <t>ORD1144</t>
  </si>
  <si>
    <t>INV5144</t>
  </si>
  <si>
    <t>CUST2120</t>
  </si>
  <si>
    <t>ORD1145</t>
  </si>
  <si>
    <t>INV5145</t>
  </si>
  <si>
    <t>CUST2179</t>
  </si>
  <si>
    <t>ORD1146</t>
  </si>
  <si>
    <t>INV5146</t>
  </si>
  <si>
    <t>ORD1147</t>
  </si>
  <si>
    <t>INV5147</t>
  </si>
  <si>
    <t>ORD1148</t>
  </si>
  <si>
    <t>INV5148</t>
  </si>
  <si>
    <t>CUST2079</t>
  </si>
  <si>
    <t>Aman Verma</t>
  </si>
  <si>
    <t>ORD1149</t>
  </si>
  <si>
    <t>INV5149</t>
  </si>
  <si>
    <t>ORD1150</t>
  </si>
  <si>
    <t>INV5150</t>
  </si>
  <si>
    <t>ORD1151</t>
  </si>
  <si>
    <t>INV5151</t>
  </si>
  <si>
    <t>ORD1152</t>
  </si>
  <si>
    <t>INV5152</t>
  </si>
  <si>
    <t>CUST2162</t>
  </si>
  <si>
    <t>ORD1153</t>
  </si>
  <si>
    <t>INV5153</t>
  </si>
  <si>
    <t>ORD1154</t>
  </si>
  <si>
    <t>INV5154</t>
  </si>
  <si>
    <t>CUST2140</t>
  </si>
  <si>
    <t>ORD1155</t>
  </si>
  <si>
    <t>INV5155</t>
  </si>
  <si>
    <t>ORD1156</t>
  </si>
  <si>
    <t>INV5156</t>
  </si>
  <si>
    <t>CUST2144</t>
  </si>
  <si>
    <t>ORD1157</t>
  </si>
  <si>
    <t>INV5157</t>
  </si>
  <si>
    <t>ORD1158</t>
  </si>
  <si>
    <t>INV5158</t>
  </si>
  <si>
    <t>CUST2119</t>
  </si>
  <si>
    <t>ORD1159</t>
  </si>
  <si>
    <t>INV5159</t>
  </si>
  <si>
    <t>ORD1160</t>
  </si>
  <si>
    <t>INV5160</t>
  </si>
  <si>
    <t>ORD1161</t>
  </si>
  <si>
    <t>INV5161</t>
  </si>
  <si>
    <t>ORD1162</t>
  </si>
  <si>
    <t>INV5162</t>
  </si>
  <si>
    <t>ORD1163</t>
  </si>
  <si>
    <t>INV5163</t>
  </si>
  <si>
    <t>ORD1164</t>
  </si>
  <si>
    <t>INV5164</t>
  </si>
  <si>
    <t>ORD1165</t>
  </si>
  <si>
    <t>INV5165</t>
  </si>
  <si>
    <t>ORD1166</t>
  </si>
  <si>
    <t>INV5166</t>
  </si>
  <si>
    <t>ORD1167</t>
  </si>
  <si>
    <t>INV5167</t>
  </si>
  <si>
    <t>ORD1168</t>
  </si>
  <si>
    <t>INV5168</t>
  </si>
  <si>
    <t>ORD1169</t>
  </si>
  <si>
    <t>INV5169</t>
  </si>
  <si>
    <t>CUST2151</t>
  </si>
  <si>
    <t>ORD1170</t>
  </si>
  <si>
    <t>INV5170</t>
  </si>
  <si>
    <t>ORD1171</t>
  </si>
  <si>
    <t>INV5171</t>
  </si>
  <si>
    <t>ORD1172</t>
  </si>
  <si>
    <t>INV5172</t>
  </si>
  <si>
    <t>ORD1173</t>
  </si>
  <si>
    <t>INV5173</t>
  </si>
  <si>
    <t>ORD1174</t>
  </si>
  <si>
    <t>INV5174</t>
  </si>
  <si>
    <t>CUST2011</t>
  </si>
  <si>
    <t>ORD1175</t>
  </si>
  <si>
    <t>INV5175</t>
  </si>
  <si>
    <t>CUST2127</t>
  </si>
  <si>
    <t>ORD1176</t>
  </si>
  <si>
    <t>INV5176</t>
  </si>
  <si>
    <t>CUST2085</t>
  </si>
  <si>
    <t>ORD1177</t>
  </si>
  <si>
    <t>INV5177</t>
  </si>
  <si>
    <t>ORD1178</t>
  </si>
  <si>
    <t>INV5178</t>
  </si>
  <si>
    <t>CUST2091</t>
  </si>
  <si>
    <t>ORD1179</t>
  </si>
  <si>
    <t>INV5179</t>
  </si>
  <si>
    <t>CUST2057</t>
  </si>
  <si>
    <t>ORD1180</t>
  </si>
  <si>
    <t>INV5180</t>
  </si>
  <si>
    <t>CUST2158</t>
  </si>
  <si>
    <t>ORD1181</t>
  </si>
  <si>
    <t>INV5181</t>
  </si>
  <si>
    <t>ORD1182</t>
  </si>
  <si>
    <t>INV5182</t>
  </si>
  <si>
    <t>ORD1183</t>
  </si>
  <si>
    <t>INV5183</t>
  </si>
  <si>
    <t>ORD1184</t>
  </si>
  <si>
    <t>INV5184</t>
  </si>
  <si>
    <t>CUST2146</t>
  </si>
  <si>
    <t>ORD1185</t>
  </si>
  <si>
    <t>INV5185</t>
  </si>
  <si>
    <t>CUST2065</t>
  </si>
  <si>
    <t>Arjun Saini</t>
  </si>
  <si>
    <t>ORD1186</t>
  </si>
  <si>
    <t>INV5186</t>
  </si>
  <si>
    <t>CUST2111</t>
  </si>
  <si>
    <t>ORD1187</t>
  </si>
  <si>
    <t>INV5187</t>
  </si>
  <si>
    <t>CUST2167</t>
  </si>
  <si>
    <t>ORD1188</t>
  </si>
  <si>
    <t>INV5188</t>
  </si>
  <si>
    <t>CUST2143</t>
  </si>
  <si>
    <t>ORD1189</t>
  </si>
  <si>
    <t>INV5189</t>
  </si>
  <si>
    <t>ORD1190</t>
  </si>
  <si>
    <t>INV5190</t>
  </si>
  <si>
    <t>ORD1191</t>
  </si>
  <si>
    <t>INV5191</t>
  </si>
  <si>
    <t>ORD1192</t>
  </si>
  <si>
    <t>INV5192</t>
  </si>
  <si>
    <t>ORD1193</t>
  </si>
  <si>
    <t>INV5193</t>
  </si>
  <si>
    <t>ORD1194</t>
  </si>
  <si>
    <t>INV5194</t>
  </si>
  <si>
    <t>ORD1195</t>
  </si>
  <si>
    <t>INV5195</t>
  </si>
  <si>
    <t>CUST2147</t>
  </si>
  <si>
    <t>ORD1196</t>
  </si>
  <si>
    <t>INV5196</t>
  </si>
  <si>
    <t>ORD1197</t>
  </si>
  <si>
    <t>INV5197</t>
  </si>
  <si>
    <t>ORD1198</t>
  </si>
  <si>
    <t>INV5198</t>
  </si>
  <si>
    <t>ORD1199</t>
  </si>
  <si>
    <t>INV5199</t>
  </si>
  <si>
    <t>ORD1200</t>
  </si>
  <si>
    <t>INV5200</t>
  </si>
  <si>
    <t>CUST2152</t>
  </si>
  <si>
    <t>ORD1201</t>
  </si>
  <si>
    <t>INV5201</t>
  </si>
  <si>
    <t>ORD1202</t>
  </si>
  <si>
    <t>INV5202</t>
  </si>
  <si>
    <t>ORD1203</t>
  </si>
  <si>
    <t>INV5203</t>
  </si>
  <si>
    <t>ORD1204</t>
  </si>
  <si>
    <t>INV5204</t>
  </si>
  <si>
    <t>ORD1205</t>
  </si>
  <si>
    <t>INV5205</t>
  </si>
  <si>
    <t>CUST2124</t>
  </si>
  <si>
    <t>ORD1206</t>
  </si>
  <si>
    <t>INV5206</t>
  </si>
  <si>
    <t>CUST2016</t>
  </si>
  <si>
    <t>ORD1207</t>
  </si>
  <si>
    <t>INV5207</t>
  </si>
  <si>
    <t>CUST2080</t>
  </si>
  <si>
    <t>ORD1208</t>
  </si>
  <si>
    <t>INV5208</t>
  </si>
  <si>
    <t>CUST2078</t>
  </si>
  <si>
    <t>ORD1209</t>
  </si>
  <si>
    <t>INV5209</t>
  </si>
  <si>
    <t>CUST2053</t>
  </si>
  <si>
    <t>ORD1210</t>
  </si>
  <si>
    <t>INV5210</t>
  </si>
  <si>
    <t>ORD1211</t>
  </si>
  <si>
    <t>INV5211</t>
  </si>
  <si>
    <t>CUST2019</t>
  </si>
  <si>
    <t>ORD1212</t>
  </si>
  <si>
    <t>INV5212</t>
  </si>
  <si>
    <t>ORD1213</t>
  </si>
  <si>
    <t>INV5213</t>
  </si>
  <si>
    <t>ORD1214</t>
  </si>
  <si>
    <t>INV5214</t>
  </si>
  <si>
    <t>ORD1215</t>
  </si>
  <si>
    <t>INV5215</t>
  </si>
  <si>
    <t>ORD1216</t>
  </si>
  <si>
    <t>INV5216</t>
  </si>
  <si>
    <t>CUST2122</t>
  </si>
  <si>
    <t>ORD1217</t>
  </si>
  <si>
    <t>INV5217</t>
  </si>
  <si>
    <t>ORD1218</t>
  </si>
  <si>
    <t>INV5218</t>
  </si>
  <si>
    <t>ORD1219</t>
  </si>
  <si>
    <t>INV5219</t>
  </si>
  <si>
    <t>ORD1220</t>
  </si>
  <si>
    <t>INV5220</t>
  </si>
  <si>
    <t>CUST2132</t>
  </si>
  <si>
    <t>ORD1221</t>
  </si>
  <si>
    <t>INV5221</t>
  </si>
  <si>
    <t>ORD1222</t>
  </si>
  <si>
    <t>INV5222</t>
  </si>
  <si>
    <t>ORD1223</t>
  </si>
  <si>
    <t>INV5223</t>
  </si>
  <si>
    <t>ORD1224</t>
  </si>
  <si>
    <t>INV5224</t>
  </si>
  <si>
    <t>ORD1225</t>
  </si>
  <si>
    <t>INV5225</t>
  </si>
  <si>
    <t>ORD1226</t>
  </si>
  <si>
    <t>INV5226</t>
  </si>
  <si>
    <t>ORD1227</t>
  </si>
  <si>
    <t>INV5227</t>
  </si>
  <si>
    <t>ORD1228</t>
  </si>
  <si>
    <t>INV5228</t>
  </si>
  <si>
    <t>ORD1229</t>
  </si>
  <si>
    <t>INV5229</t>
  </si>
  <si>
    <t>CUST2056</t>
  </si>
  <si>
    <t>ORD1230</t>
  </si>
  <si>
    <t>INV5230</t>
  </si>
  <si>
    <t>CUST2009</t>
  </si>
  <si>
    <t>ORD1231</t>
  </si>
  <si>
    <t>INV5231</t>
  </si>
  <si>
    <t>ORD1232</t>
  </si>
  <si>
    <t>INV5232</t>
  </si>
  <si>
    <t>ORD1233</t>
  </si>
  <si>
    <t>INV5233</t>
  </si>
  <si>
    <t>ORD1234</t>
  </si>
  <si>
    <t>INV5234</t>
  </si>
  <si>
    <t>ORD1235</t>
  </si>
  <si>
    <t>INV5235</t>
  </si>
  <si>
    <t>ORD1236</t>
  </si>
  <si>
    <t>INV5236</t>
  </si>
  <si>
    <t>ORD1237</t>
  </si>
  <si>
    <t>INV5237</t>
  </si>
  <si>
    <t>ORD1238</t>
  </si>
  <si>
    <t>INV5238</t>
  </si>
  <si>
    <t>CUST2051</t>
  </si>
  <si>
    <t>ORD1239</t>
  </si>
  <si>
    <t>INV5239</t>
  </si>
  <si>
    <t>CUST2155</t>
  </si>
  <si>
    <t>ORD1240</t>
  </si>
  <si>
    <t>INV5240</t>
  </si>
  <si>
    <t>ORD1241</t>
  </si>
  <si>
    <t>INV5241</t>
  </si>
  <si>
    <t>CUST2099</t>
  </si>
  <si>
    <t>ORD1242</t>
  </si>
  <si>
    <t>INV5242</t>
  </si>
  <si>
    <t>ORD1243</t>
  </si>
  <si>
    <t>INV5243</t>
  </si>
  <si>
    <t>ORD1244</t>
  </si>
  <si>
    <t>INV5244</t>
  </si>
  <si>
    <t>ORD1245</t>
  </si>
  <si>
    <t>INV5245</t>
  </si>
  <si>
    <t>ORD1246</t>
  </si>
  <si>
    <t>INV5246</t>
  </si>
  <si>
    <t>ORD1247</t>
  </si>
  <si>
    <t>INV5247</t>
  </si>
  <si>
    <t>CUST2061</t>
  </si>
  <si>
    <t>ORD1248</t>
  </si>
  <si>
    <t>INV5248</t>
  </si>
  <si>
    <t>CUST2114</t>
  </si>
  <si>
    <t>ORD1249</t>
  </si>
  <si>
    <t>INV5249</t>
  </si>
  <si>
    <t>ORD1250</t>
  </si>
  <si>
    <t>INV5250</t>
  </si>
  <si>
    <t>CUST2141</t>
  </si>
  <si>
    <t>ORD1251</t>
  </si>
  <si>
    <t>INV5251</t>
  </si>
  <si>
    <t>ORD1252</t>
  </si>
  <si>
    <t>INV5252</t>
  </si>
  <si>
    <t>ORD1253</t>
  </si>
  <si>
    <t>INV5253</t>
  </si>
  <si>
    <t>ORD1254</t>
  </si>
  <si>
    <t>INV5254</t>
  </si>
  <si>
    <t>ORD1255</t>
  </si>
  <si>
    <t>INV5255</t>
  </si>
  <si>
    <t>ORD1256</t>
  </si>
  <si>
    <t>INV5256</t>
  </si>
  <si>
    <t>ORD1257</t>
  </si>
  <si>
    <t>INV5257</t>
  </si>
  <si>
    <t>ORD1258</t>
  </si>
  <si>
    <t>INV5258</t>
  </si>
  <si>
    <t>ORD1259</t>
  </si>
  <si>
    <t>INV5259</t>
  </si>
  <si>
    <t>ORD1260</t>
  </si>
  <si>
    <t>INV5260</t>
  </si>
  <si>
    <t>ORD1261</t>
  </si>
  <si>
    <t>INV5261</t>
  </si>
  <si>
    <t>ORD1262</t>
  </si>
  <si>
    <t>INV5262</t>
  </si>
  <si>
    <t>ORD1263</t>
  </si>
  <si>
    <t>INV5263</t>
  </si>
  <si>
    <t>ORD1264</t>
  </si>
  <si>
    <t>INV5264</t>
  </si>
  <si>
    <t>CUST2149</t>
  </si>
  <si>
    <t>ORD1265</t>
  </si>
  <si>
    <t>INV5265</t>
  </si>
  <si>
    <t>ORD1266</t>
  </si>
  <si>
    <t>INV5266</t>
  </si>
  <si>
    <t>ORD1267</t>
  </si>
  <si>
    <t>INV5267</t>
  </si>
  <si>
    <t>CUST2106</t>
  </si>
  <si>
    <t>ORD1268</t>
  </si>
  <si>
    <t>INV5268</t>
  </si>
  <si>
    <t>ORD1269</t>
  </si>
  <si>
    <t>INV5269</t>
  </si>
  <si>
    <t>ORD1270</t>
  </si>
  <si>
    <t>INV5270</t>
  </si>
  <si>
    <t>ORD1271</t>
  </si>
  <si>
    <t>INV5271</t>
  </si>
  <si>
    <t>ORD1272</t>
  </si>
  <si>
    <t>INV5272</t>
  </si>
  <si>
    <t>ORD1273</t>
  </si>
  <si>
    <t>INV5273</t>
  </si>
  <si>
    <t>ORD1274</t>
  </si>
  <si>
    <t>INV5274</t>
  </si>
  <si>
    <t>ORD1275</t>
  </si>
  <si>
    <t>INV5275</t>
  </si>
  <si>
    <t>ORD1276</t>
  </si>
  <si>
    <t>INV5276</t>
  </si>
  <si>
    <t>CUST2094</t>
  </si>
  <si>
    <t>ORD1277</t>
  </si>
  <si>
    <t>INV5277</t>
  </si>
  <si>
    <t>ORD1278</t>
  </si>
  <si>
    <t>INV5278</t>
  </si>
  <si>
    <t>ORD1279</t>
  </si>
  <si>
    <t>INV5279</t>
  </si>
  <si>
    <t>ORD1280</t>
  </si>
  <si>
    <t>INV5280</t>
  </si>
  <si>
    <t>ORD1281</t>
  </si>
  <si>
    <t>INV5281</t>
  </si>
  <si>
    <t>ORD1282</t>
  </si>
  <si>
    <t>INV5282</t>
  </si>
  <si>
    <t>ORD1283</t>
  </si>
  <si>
    <t>INV5283</t>
  </si>
  <si>
    <t>ORD1284</t>
  </si>
  <si>
    <t>INV5284</t>
  </si>
  <si>
    <t>ORD1285</t>
  </si>
  <si>
    <t>INV5285</t>
  </si>
  <si>
    <t>ORD1286</t>
  </si>
  <si>
    <t>INV5286</t>
  </si>
  <si>
    <t>ORD1287</t>
  </si>
  <si>
    <t>INV5287</t>
  </si>
  <si>
    <t>ORD1288</t>
  </si>
  <si>
    <t>INV5288</t>
  </si>
  <si>
    <t>CUST2022</t>
  </si>
  <si>
    <t>ORD1289</t>
  </si>
  <si>
    <t>INV5289</t>
  </si>
  <si>
    <t>ORD1290</t>
  </si>
  <si>
    <t>INV5290</t>
  </si>
  <si>
    <t>ORD1291</t>
  </si>
  <si>
    <t>INV5291</t>
  </si>
  <si>
    <t>ORD1292</t>
  </si>
  <si>
    <t>INV5292</t>
  </si>
  <si>
    <t>ORD1293</t>
  </si>
  <si>
    <t>INV5293</t>
  </si>
  <si>
    <t>ORD1294</t>
  </si>
  <si>
    <t>INV5294</t>
  </si>
  <si>
    <t>ORD1295</t>
  </si>
  <si>
    <t>INV5295</t>
  </si>
  <si>
    <t>ORD1296</t>
  </si>
  <si>
    <t>INV5296</t>
  </si>
  <si>
    <t>ORD1297</t>
  </si>
  <si>
    <t>INV5297</t>
  </si>
  <si>
    <t>ORD1298</t>
  </si>
  <si>
    <t>INV5298</t>
  </si>
  <si>
    <t>ORD1299</t>
  </si>
  <si>
    <t>INV5299</t>
  </si>
  <si>
    <t>ORD1300</t>
  </si>
  <si>
    <t>INV5300</t>
  </si>
  <si>
    <t>ORD1301</t>
  </si>
  <si>
    <t>INV5301</t>
  </si>
  <si>
    <t>ORD1302</t>
  </si>
  <si>
    <t>INV5302</t>
  </si>
  <si>
    <t>ORD1303</t>
  </si>
  <si>
    <t>INV5303</t>
  </si>
  <si>
    <t>CUST2037</t>
  </si>
  <si>
    <t>ORD1304</t>
  </si>
  <si>
    <t>INV5304</t>
  </si>
  <si>
    <t>ORD1305</t>
  </si>
  <si>
    <t>INV5305</t>
  </si>
  <si>
    <t>ORD1306</t>
  </si>
  <si>
    <t>INV5306</t>
  </si>
  <si>
    <t>ORD1307</t>
  </si>
  <si>
    <t>INV5307</t>
  </si>
  <si>
    <t>ORD1308</t>
  </si>
  <si>
    <t>INV5308</t>
  </si>
  <si>
    <t>ORD1309</t>
  </si>
  <si>
    <t>INV5309</t>
  </si>
  <si>
    <t>ORD1310</t>
  </si>
  <si>
    <t>INV5310</t>
  </si>
  <si>
    <t>ORD1311</t>
  </si>
  <si>
    <t>INV5311</t>
  </si>
  <si>
    <t>ORD1312</t>
  </si>
  <si>
    <t>INV5312</t>
  </si>
  <si>
    <t>ORD1313</t>
  </si>
  <si>
    <t>INV5313</t>
  </si>
  <si>
    <t>ORD1314</t>
  </si>
  <si>
    <t>INV5314</t>
  </si>
  <si>
    <t>ORD1315</t>
  </si>
  <si>
    <t>INV5315</t>
  </si>
  <si>
    <t>ORD1316</t>
  </si>
  <si>
    <t>INV5316</t>
  </si>
  <si>
    <t>CUST2150</t>
  </si>
  <si>
    <t>ORD1317</t>
  </si>
  <si>
    <t>INV5317</t>
  </si>
  <si>
    <t>ORD1318</t>
  </si>
  <si>
    <t>INV5318</t>
  </si>
  <si>
    <t>ORD1319</t>
  </si>
  <si>
    <t>INV5319</t>
  </si>
  <si>
    <t>ORD1320</t>
  </si>
  <si>
    <t>INV5320</t>
  </si>
  <si>
    <t>ORD1321</t>
  </si>
  <si>
    <t>INV5321</t>
  </si>
  <si>
    <t>Aryan Malhotra</t>
  </si>
  <si>
    <t>ORD1322</t>
  </si>
  <si>
    <t>INV5322</t>
  </si>
  <si>
    <t>ORD1323</t>
  </si>
  <si>
    <t>INV5323</t>
  </si>
  <si>
    <t>ORD1324</t>
  </si>
  <si>
    <t>INV5324</t>
  </si>
  <si>
    <t>CUST2007</t>
  </si>
  <si>
    <t>ORD1325</t>
  </si>
  <si>
    <t>INV5325</t>
  </si>
  <si>
    <t>ORD1326</t>
  </si>
  <si>
    <t>INV5326</t>
  </si>
  <si>
    <t>CUST2174</t>
  </si>
  <si>
    <t>ORD1327</t>
  </si>
  <si>
    <t>INV5327</t>
  </si>
  <si>
    <t>ORD1328</t>
  </si>
  <si>
    <t>INV5328</t>
  </si>
  <si>
    <t>ORD1329</t>
  </si>
  <si>
    <t>INV5329</t>
  </si>
  <si>
    <t>CUST2086</t>
  </si>
  <si>
    <t>ORD1330</t>
  </si>
  <si>
    <t>INV5330</t>
  </si>
  <si>
    <t>ORD1331</t>
  </si>
  <si>
    <t>INV5331</t>
  </si>
  <si>
    <t>ORD1332</t>
  </si>
  <si>
    <t>INV5332</t>
  </si>
  <si>
    <t>ORD1333</t>
  </si>
  <si>
    <t>INV5333</t>
  </si>
  <si>
    <t>ORD1334</t>
  </si>
  <si>
    <t>INV5334</t>
  </si>
  <si>
    <t>ORD1335</t>
  </si>
  <si>
    <t>INV5335</t>
  </si>
  <si>
    <t>ORD1336</t>
  </si>
  <si>
    <t>INV5336</t>
  </si>
  <si>
    <t>CUST2171</t>
  </si>
  <si>
    <t>ORD1337</t>
  </si>
  <si>
    <t>INV5337</t>
  </si>
  <si>
    <t>ORD1338</t>
  </si>
  <si>
    <t>INV5338</t>
  </si>
  <si>
    <t>ORD1339</t>
  </si>
  <si>
    <t>INV5339</t>
  </si>
  <si>
    <t>CUST2136</t>
  </si>
  <si>
    <t>ORD1340</t>
  </si>
  <si>
    <t>INV5340</t>
  </si>
  <si>
    <t>ORD1341</t>
  </si>
  <si>
    <t>INV5341</t>
  </si>
  <si>
    <t>ORD1342</t>
  </si>
  <si>
    <t>INV5342</t>
  </si>
  <si>
    <t>ORD1343</t>
  </si>
  <si>
    <t>INV5343</t>
  </si>
  <si>
    <t>ORD1344</t>
  </si>
  <si>
    <t>INV5344</t>
  </si>
  <si>
    <t>ORD1345</t>
  </si>
  <si>
    <t>INV5345</t>
  </si>
  <si>
    <t>ORD1346</t>
  </si>
  <si>
    <t>INV5346</t>
  </si>
  <si>
    <t>ORD1347</t>
  </si>
  <si>
    <t>INV5347</t>
  </si>
  <si>
    <t>ORD1348</t>
  </si>
  <si>
    <t>INV5348</t>
  </si>
  <si>
    <t>ORD1349</t>
  </si>
  <si>
    <t>INV5349</t>
  </si>
  <si>
    <t>ORD1350</t>
  </si>
  <si>
    <t>INV5350</t>
  </si>
  <si>
    <t>ORD1351</t>
  </si>
  <si>
    <t>INV5351</t>
  </si>
  <si>
    <t>CUST2112</t>
  </si>
  <si>
    <t>ORD1352</t>
  </si>
  <si>
    <t>INV5352</t>
  </si>
  <si>
    <t>ORD1353</t>
  </si>
  <si>
    <t>INV5353</t>
  </si>
  <si>
    <t>ORD1354</t>
  </si>
  <si>
    <t>INV5354</t>
  </si>
  <si>
    <t>ORD1355</t>
  </si>
  <si>
    <t>INV5355</t>
  </si>
  <si>
    <t>ORD1356</t>
  </si>
  <si>
    <t>INV5356</t>
  </si>
  <si>
    <t>ORD1357</t>
  </si>
  <si>
    <t>INV5357</t>
  </si>
  <si>
    <t>CUST2126</t>
  </si>
  <si>
    <t>ORD1358</t>
  </si>
  <si>
    <t>INV5358</t>
  </si>
  <si>
    <t>ORD1359</t>
  </si>
  <si>
    <t>INV5359</t>
  </si>
  <si>
    <t>ORD1360</t>
  </si>
  <si>
    <t>INV5360</t>
  </si>
  <si>
    <t>ORD1361</t>
  </si>
  <si>
    <t>INV5361</t>
  </si>
  <si>
    <t>ORD1362</t>
  </si>
  <si>
    <t>INV5362</t>
  </si>
  <si>
    <t>ORD1363</t>
  </si>
  <si>
    <t>INV5363</t>
  </si>
  <si>
    <t>ORD1364</t>
  </si>
  <si>
    <t>INV5364</t>
  </si>
  <si>
    <t>ORD1365</t>
  </si>
  <si>
    <t>INV5365</t>
  </si>
  <si>
    <t>ORD1366</t>
  </si>
  <si>
    <t>INV5366</t>
  </si>
  <si>
    <t>ORD1367</t>
  </si>
  <si>
    <t>INV5367</t>
  </si>
  <si>
    <t>CUST2006</t>
  </si>
  <si>
    <t>ORD1368</t>
  </si>
  <si>
    <t>INV5368</t>
  </si>
  <si>
    <t>ORD1369</t>
  </si>
  <si>
    <t>INV5369</t>
  </si>
  <si>
    <t>ORD1370</t>
  </si>
  <si>
    <t>INV5370</t>
  </si>
  <si>
    <t>ORD1371</t>
  </si>
  <si>
    <t>INV5371</t>
  </si>
  <si>
    <t>CUST2163</t>
  </si>
  <si>
    <t>ORD1372</t>
  </si>
  <si>
    <t>INV5372</t>
  </si>
  <si>
    <t>CUST2047</t>
  </si>
  <si>
    <t>ORD1373</t>
  </si>
  <si>
    <t>INV5373</t>
  </si>
  <si>
    <t>ORD1374</t>
  </si>
  <si>
    <t>INV5374</t>
  </si>
  <si>
    <t>ORD1375</t>
  </si>
  <si>
    <t>INV5375</t>
  </si>
  <si>
    <t>ORD1376</t>
  </si>
  <si>
    <t>INV5376</t>
  </si>
  <si>
    <t>ORD1377</t>
  </si>
  <si>
    <t>INV5377</t>
  </si>
  <si>
    <t>ORD1378</t>
  </si>
  <si>
    <t>INV5378</t>
  </si>
  <si>
    <t>ORD1379</t>
  </si>
  <si>
    <t>INV5379</t>
  </si>
  <si>
    <t>ORD1380</t>
  </si>
  <si>
    <t>INV5380</t>
  </si>
  <si>
    <t>ORD1381</t>
  </si>
  <si>
    <t>INV5381</t>
  </si>
  <si>
    <t>ORD1382</t>
  </si>
  <si>
    <t>INV5382</t>
  </si>
  <si>
    <t>ORD1383</t>
  </si>
  <si>
    <t>INV5383</t>
  </si>
  <si>
    <t>CUST2076</t>
  </si>
  <si>
    <t>ORD1384</t>
  </si>
  <si>
    <t>INV5384</t>
  </si>
  <si>
    <t>ORD1385</t>
  </si>
  <si>
    <t>INV5385</t>
  </si>
  <si>
    <t>ORD1386</t>
  </si>
  <si>
    <t>INV5386</t>
  </si>
  <si>
    <t>ORD1387</t>
  </si>
  <si>
    <t>INV5387</t>
  </si>
  <si>
    <t>ORD1388</t>
  </si>
  <si>
    <t>INV5388</t>
  </si>
  <si>
    <t>ORD1389</t>
  </si>
  <si>
    <t>INV5389</t>
  </si>
  <si>
    <t>ORD1390</t>
  </si>
  <si>
    <t>INV5390</t>
  </si>
  <si>
    <t>ORD1391</t>
  </si>
  <si>
    <t>INV5391</t>
  </si>
  <si>
    <t>ORD1392</t>
  </si>
  <si>
    <t>INV5392</t>
  </si>
  <si>
    <t>ORD1393</t>
  </si>
  <si>
    <t>INV5393</t>
  </si>
  <si>
    <t>ORD1394</t>
  </si>
  <si>
    <t>INV5394</t>
  </si>
  <si>
    <t>ORD1395</t>
  </si>
  <si>
    <t>INV5395</t>
  </si>
  <si>
    <t>ORD1396</t>
  </si>
  <si>
    <t>INV5396</t>
  </si>
  <si>
    <t>CUST2045</t>
  </si>
  <si>
    <t>ORD1397</t>
  </si>
  <si>
    <t>INV5397</t>
  </si>
  <si>
    <t>ORD1398</t>
  </si>
  <si>
    <t>INV5398</t>
  </si>
  <si>
    <t>ORD1399</t>
  </si>
  <si>
    <t>INV5399</t>
  </si>
  <si>
    <t>CUST2035</t>
  </si>
  <si>
    <t>ORD1400</t>
  </si>
  <si>
    <t>INV5400</t>
  </si>
  <si>
    <t>ORD1401</t>
  </si>
  <si>
    <t>INV5401</t>
  </si>
  <si>
    <t>ORD1402</t>
  </si>
  <si>
    <t>INV5402</t>
  </si>
  <si>
    <t>ORD1403</t>
  </si>
  <si>
    <t>INV5403</t>
  </si>
  <si>
    <t>ORD1404</t>
  </si>
  <si>
    <t>INV5404</t>
  </si>
  <si>
    <t>ORD1405</t>
  </si>
  <si>
    <t>INV5405</t>
  </si>
  <si>
    <t>ORD1406</t>
  </si>
  <si>
    <t>INV5406</t>
  </si>
  <si>
    <t>CUST2020</t>
  </si>
  <si>
    <t>ORD1407</t>
  </si>
  <si>
    <t>INV5407</t>
  </si>
  <si>
    <t>ORD1408</t>
  </si>
  <si>
    <t>INV5408</t>
  </si>
  <si>
    <t>ORD1409</t>
  </si>
  <si>
    <t>INV5409</t>
  </si>
  <si>
    <t>ORD1410</t>
  </si>
  <si>
    <t>INV5410</t>
  </si>
  <si>
    <t>ORD1411</t>
  </si>
  <si>
    <t>INV5411</t>
  </si>
  <si>
    <t>ORD1412</t>
  </si>
  <si>
    <t>INV5412</t>
  </si>
  <si>
    <t>ORD1413</t>
  </si>
  <si>
    <t>INV5413</t>
  </si>
  <si>
    <t>ORD1414</t>
  </si>
  <si>
    <t>INV5414</t>
  </si>
  <si>
    <t>ORD1415</t>
  </si>
  <si>
    <t>INV5415</t>
  </si>
  <si>
    <t>ORD1416</t>
  </si>
  <si>
    <t>INV5416</t>
  </si>
  <si>
    <t>ORD1417</t>
  </si>
  <si>
    <t>INV5417</t>
  </si>
  <si>
    <t>ORD1418</t>
  </si>
  <si>
    <t>INV5418</t>
  </si>
  <si>
    <t>ORD1419</t>
  </si>
  <si>
    <t>INV5419</t>
  </si>
  <si>
    <t>ORD1420</t>
  </si>
  <si>
    <t>INV5420</t>
  </si>
  <si>
    <t>CUST2073</t>
  </si>
  <si>
    <t>ORD1421</t>
  </si>
  <si>
    <t>INV5421</t>
  </si>
  <si>
    <t>CUST2118</t>
  </si>
  <si>
    <t>ORD1422</t>
  </si>
  <si>
    <t>INV5422</t>
  </si>
  <si>
    <t>ORD1423</t>
  </si>
  <si>
    <t>INV5423</t>
  </si>
  <si>
    <t>ORD1424</t>
  </si>
  <si>
    <t>INV5424</t>
  </si>
  <si>
    <t>ORD1425</t>
  </si>
  <si>
    <t>INV5425</t>
  </si>
  <si>
    <t>CUST2116</t>
  </si>
  <si>
    <t>ORD1426</t>
  </si>
  <si>
    <t>INV5426</t>
  </si>
  <si>
    <t>ORD1427</t>
  </si>
  <si>
    <t>INV5427</t>
  </si>
  <si>
    <t>ORD1428</t>
  </si>
  <si>
    <t>INV5428</t>
  </si>
  <si>
    <t>ORD1429</t>
  </si>
  <si>
    <t>INV5429</t>
  </si>
  <si>
    <t>ORD1430</t>
  </si>
  <si>
    <t>INV5430</t>
  </si>
  <si>
    <t>ORD1431</t>
  </si>
  <si>
    <t>INV5431</t>
  </si>
  <si>
    <t>ORD1432</t>
  </si>
  <si>
    <t>INV5432</t>
  </si>
  <si>
    <t>CUST2029</t>
  </si>
  <si>
    <t>ORD1433</t>
  </si>
  <si>
    <t>INV5433</t>
  </si>
  <si>
    <t>CUST2121</t>
  </si>
  <si>
    <t>ORD1434</t>
  </si>
  <si>
    <t>INV5434</t>
  </si>
  <si>
    <t>ORD1435</t>
  </si>
  <si>
    <t>INV5435</t>
  </si>
  <si>
    <t>ORD1436</t>
  </si>
  <si>
    <t>INV5436</t>
  </si>
  <si>
    <t>CUST2063</t>
  </si>
  <si>
    <t>ORD1437</t>
  </si>
  <si>
    <t>INV5437</t>
  </si>
  <si>
    <t>ORD1438</t>
  </si>
  <si>
    <t>INV5438</t>
  </si>
  <si>
    <t>ORD1439</t>
  </si>
  <si>
    <t>INV5439</t>
  </si>
  <si>
    <t>ORD1440</t>
  </si>
  <si>
    <t>INV5440</t>
  </si>
  <si>
    <t>ORD1441</t>
  </si>
  <si>
    <t>INV5441</t>
  </si>
  <si>
    <t>ORD1442</t>
  </si>
  <si>
    <t>INV5442</t>
  </si>
  <si>
    <t>CUST2044</t>
  </si>
  <si>
    <t>ORD1443</t>
  </si>
  <si>
    <t>INV5443</t>
  </si>
  <si>
    <t>ORD1444</t>
  </si>
  <si>
    <t>INV5444</t>
  </si>
  <si>
    <t>ORD1445</t>
  </si>
  <si>
    <t>INV5445</t>
  </si>
  <si>
    <t>ORD1446</t>
  </si>
  <si>
    <t>INV5446</t>
  </si>
  <si>
    <t>ORD1447</t>
  </si>
  <si>
    <t>INV5447</t>
  </si>
  <si>
    <t>ORD1448</t>
  </si>
  <si>
    <t>INV5448</t>
  </si>
  <si>
    <t>ORD1449</t>
  </si>
  <si>
    <t>INV5449</t>
  </si>
  <si>
    <t>ORD1450</t>
  </si>
  <si>
    <t>INV5450</t>
  </si>
  <si>
    <t>ORD1451</t>
  </si>
  <si>
    <t>INV5451</t>
  </si>
  <si>
    <t>ORD1452</t>
  </si>
  <si>
    <t>INV5452</t>
  </si>
  <si>
    <t>ORD1453</t>
  </si>
  <si>
    <t>INV5453</t>
  </si>
  <si>
    <t>ORD1454</t>
  </si>
  <si>
    <t>INV5454</t>
  </si>
  <si>
    <t>ORD1455</t>
  </si>
  <si>
    <t>INV5455</t>
  </si>
  <si>
    <t>ORD1456</t>
  </si>
  <si>
    <t>INV5456</t>
  </si>
  <si>
    <t>ORD1457</t>
  </si>
  <si>
    <t>INV5457</t>
  </si>
  <si>
    <t>ORD1458</t>
  </si>
  <si>
    <t>INV5458</t>
  </si>
  <si>
    <t>ORD1459</t>
  </si>
  <si>
    <t>INV5459</t>
  </si>
  <si>
    <t>ORD1460</t>
  </si>
  <si>
    <t>INV5460</t>
  </si>
  <si>
    <t>ORD1461</t>
  </si>
  <si>
    <t>INV5461</t>
  </si>
  <si>
    <t>ORD1462</t>
  </si>
  <si>
    <t>INV5462</t>
  </si>
  <si>
    <t>ORD1463</t>
  </si>
  <si>
    <t>INV5463</t>
  </si>
  <si>
    <t>ORD1464</t>
  </si>
  <si>
    <t>INV5464</t>
  </si>
  <si>
    <t>ORD1465</t>
  </si>
  <si>
    <t>INV5465</t>
  </si>
  <si>
    <t>ORD1466</t>
  </si>
  <si>
    <t>INV5466</t>
  </si>
  <si>
    <t>ORD1467</t>
  </si>
  <si>
    <t>INV5467</t>
  </si>
  <si>
    <t>ORD1468</t>
  </si>
  <si>
    <t>INV5468</t>
  </si>
  <si>
    <t>ORD1469</t>
  </si>
  <si>
    <t>INV5469</t>
  </si>
  <si>
    <t>ORD1470</t>
  </si>
  <si>
    <t>INV5470</t>
  </si>
  <si>
    <t>ORD1471</t>
  </si>
  <si>
    <t>INV5471</t>
  </si>
  <si>
    <t>ORD1472</t>
  </si>
  <si>
    <t>INV5472</t>
  </si>
  <si>
    <t>CUST2109</t>
  </si>
  <si>
    <t>ORD1473</t>
  </si>
  <si>
    <t>INV5473</t>
  </si>
  <si>
    <t>ORD1474</t>
  </si>
  <si>
    <t>INV5474</t>
  </si>
  <si>
    <t>ORD1475</t>
  </si>
  <si>
    <t>INV5475</t>
  </si>
  <si>
    <t>ORD1476</t>
  </si>
  <si>
    <t>INV5476</t>
  </si>
  <si>
    <t>ORD1477</t>
  </si>
  <si>
    <t>INV5477</t>
  </si>
  <si>
    <t>ORD1478</t>
  </si>
  <si>
    <t>INV5478</t>
  </si>
  <si>
    <t>ORD1479</t>
  </si>
  <si>
    <t>INV5479</t>
  </si>
  <si>
    <t>ORD1480</t>
  </si>
  <si>
    <t>INV5480</t>
  </si>
  <si>
    <t>ORD1481</t>
  </si>
  <si>
    <t>INV5481</t>
  </si>
  <si>
    <t>CUST2038</t>
  </si>
  <si>
    <t>ORD1482</t>
  </si>
  <si>
    <t>INV5482</t>
  </si>
  <si>
    <t>ORD1483</t>
  </si>
  <si>
    <t>INV5483</t>
  </si>
  <si>
    <t>ORD1484</t>
  </si>
  <si>
    <t>INV5484</t>
  </si>
  <si>
    <t>ORD1485</t>
  </si>
  <si>
    <t>INV5485</t>
  </si>
  <si>
    <t>ORD1486</t>
  </si>
  <si>
    <t>INV5486</t>
  </si>
  <si>
    <t>ORD1487</t>
  </si>
  <si>
    <t>INV5487</t>
  </si>
  <si>
    <t>ORD1488</t>
  </si>
  <si>
    <t>INV5488</t>
  </si>
  <si>
    <t>ORD1489</t>
  </si>
  <si>
    <t>INV5489</t>
  </si>
  <si>
    <t>ORD1490</t>
  </si>
  <si>
    <t>INV5490</t>
  </si>
  <si>
    <t>ORD1491</t>
  </si>
  <si>
    <t>INV5491</t>
  </si>
  <si>
    <t>ORD1492</t>
  </si>
  <si>
    <t>INV5492</t>
  </si>
  <si>
    <t>ORD1493</t>
  </si>
  <si>
    <t>INV5493</t>
  </si>
  <si>
    <t>ORD1494</t>
  </si>
  <si>
    <t>INV5494</t>
  </si>
  <si>
    <t>ORD1495</t>
  </si>
  <si>
    <t>INV5495</t>
  </si>
  <si>
    <t>ORD1496</t>
  </si>
  <si>
    <t>INV5496</t>
  </si>
  <si>
    <t>ORD1497</t>
  </si>
  <si>
    <t>INV5497</t>
  </si>
  <si>
    <t>ORD1498</t>
  </si>
  <si>
    <t>INV5498</t>
  </si>
  <si>
    <t>ORD1499</t>
  </si>
  <si>
    <t>INV5499</t>
  </si>
  <si>
    <t>ORD1500</t>
  </si>
  <si>
    <t>INV5500</t>
  </si>
  <si>
    <t>Data Quality Check</t>
  </si>
  <si>
    <t>Result</t>
  </si>
  <si>
    <t>Total Records</t>
  </si>
  <si>
    <t>Total Columns</t>
  </si>
  <si>
    <t>Missing Values</t>
  </si>
  <si>
    <t>Duplicate Records</t>
  </si>
  <si>
    <t>Date Format</t>
  </si>
  <si>
    <t>dd-mmm-yyyy (Excel date)</t>
  </si>
  <si>
    <t>Data Types Checked</t>
  </si>
  <si>
    <t>Yes</t>
  </si>
  <si>
    <t>Outliers Checked</t>
  </si>
  <si>
    <t>Basic range validation performed</t>
  </si>
  <si>
    <t>Data Cleaning Status</t>
  </si>
  <si>
    <t>Completed</t>
  </si>
  <si>
    <t>Metric</t>
  </si>
  <si>
    <t>Value</t>
  </si>
  <si>
    <t>Total Revenue</t>
  </si>
  <si>
    <t>Notes</t>
  </si>
  <si>
    <t>Total Profit</t>
  </si>
  <si>
    <t>Profit Margin = Total Profit ÷ Total Revenue</t>
  </si>
  <si>
    <t>Total Orders</t>
  </si>
  <si>
    <t>Total Customers = unique Customer IDs</t>
  </si>
  <si>
    <t>Average Order Value</t>
  </si>
  <si>
    <t>Segment counts are order-level because Customer Segment is calculated from order Sales.</t>
  </si>
  <si>
    <t>Profit Margin</t>
  </si>
  <si>
    <t>Total Customers</t>
  </si>
  <si>
    <t>High Value Orders</t>
  </si>
  <si>
    <t>Medium Value Orders</t>
  </si>
  <si>
    <t>Low Value Orders</t>
  </si>
  <si>
    <t>Sum of Sales</t>
  </si>
  <si>
    <t>Total Result</t>
  </si>
  <si>
    <t>Count of Order ID</t>
  </si>
  <si>
    <t>High Value</t>
  </si>
  <si>
    <t>Low Value</t>
  </si>
  <si>
    <t>Medium Value</t>
  </si>
  <si>
    <t>Retail Sales Performance Analysis Dashboard</t>
  </si>
  <si>
    <t>Dashboard Filters</t>
  </si>
  <si>
    <t>All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</si>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</sst>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1F2937"/>
      <name val="Cambria"/>
      <charset val="1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8"/>
      <color rgb="FF0F6B78"/>
      <name val="Cambria"/>
      <family val="1"/>
    </font>
    <font>
      <b/>
      <sz val="18"/>
      <color rgb="FF1F2937"/>
      <name val="Cambria"/>
      <family val="1"/>
    </font>
    <font>
      <b/>
      <sz val="18"/>
      <color rgb="FFFFFFFF"/>
      <name val="Cambria"/>
      <family val="1"/>
    </font>
    <font>
      <i/>
      <sz val="18"/>
      <color rgb="FF666666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</borders>
  <cellStyleXfs count="8">
    <xf numFmtId="0" fontId="0" fillId="0" borderId="0"/>
    <xf numFmtId="9" fontId="4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9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4" xfId="4" applyBorder="1"/>
    <xf numFmtId="0" fontId="4" fillId="0" borderId="5" xfId="2" applyBorder="1"/>
    <xf numFmtId="0" fontId="4" fillId="0" borderId="6" xfId="5" applyBorder="1">
      <alignment horizontal="left"/>
    </xf>
    <xf numFmtId="0" fontId="4" fillId="0" borderId="7" xfId="3" applyBorder="1"/>
    <xf numFmtId="0" fontId="4" fillId="0" borderId="8" xfId="5" applyBorder="1">
      <alignment horizontal="left"/>
    </xf>
    <xf numFmtId="0" fontId="4" fillId="0" borderId="9" xfId="3" applyBorder="1"/>
    <xf numFmtId="0" fontId="1" fillId="0" borderId="10" xfId="6" applyBorder="1">
      <alignment horizontal="left"/>
    </xf>
    <xf numFmtId="0" fontId="1" fillId="0" borderId="11" xfId="7" applyBorder="1"/>
    <xf numFmtId="0" fontId="4" fillId="0" borderId="12" xfId="3" applyBorder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5" fillId="0" borderId="13" xfId="0" applyFont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 vertical="center"/>
    </xf>
  </cellXfs>
  <cellStyles count="8">
    <cellStyle name="Normal" xfId="0" builtinId="0"/>
    <cellStyle name="Percent" xfId="1" builtinId="5"/>
    <cellStyle name="Pivot Table Category" xfId="5" xr:uid="{00000000-0005-0000-0000-000009000000}"/>
    <cellStyle name="Pivot Table Corner" xfId="2" xr:uid="{00000000-0005-0000-0000-000006000000}"/>
    <cellStyle name="Pivot Table Field" xfId="4" xr:uid="{00000000-0005-0000-0000-000008000000}"/>
    <cellStyle name="Pivot Table Result" xfId="7" xr:uid="{00000000-0005-0000-0000-00000B000000}"/>
    <cellStyle name="Pivot Table Title" xfId="6" xr:uid="{00000000-0005-0000-0000-00000A000000}"/>
    <cellStyle name="Pivot Table Value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F6B78"/>
      <rgbColor rgb="FFD9D9D9"/>
      <rgbColor rgb="FF878787"/>
      <rgbColor rgb="FF9999FF"/>
      <rgbColor rgb="FFC0504D"/>
      <rgbColor rgb="FFF9F9F9"/>
      <rgbColor rgb="FFEAF3F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8064A2"/>
      <rgbColor rgb="FF9BBB59"/>
      <rgbColor rgb="FF17365D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45858946711191"/>
          <c:y val="0.19013130487599336"/>
          <c:w val="0.88154141053288804"/>
          <c:h val="0.72888643670558007"/>
        </c:manualLayout>
      </c:layout>
      <c:lineChart>
        <c:grouping val="standard"/>
        <c:varyColors val="0"/>
        <c:ser>
          <c:idx val="0"/>
          <c:order val="0"/>
          <c:tx>
            <c:strRef>
              <c:f>Pivot_Month!$B$3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Pivot_Month!$A$4:$A$5</c:f>
              <c:strCache>
                <c:ptCount val="2"/>
                <c:pt idx="0">
                  <c:v>May</c:v>
                </c:pt>
                <c:pt idx="1">
                  <c:v>June</c:v>
                </c:pt>
              </c:strCache>
            </c:strRef>
          </c:cat>
          <c:val>
            <c:numRef>
              <c:f>Pivot_Month!$B$4:$B$5</c:f>
              <c:numCache>
                <c:formatCode>General</c:formatCode>
                <c:ptCount val="2"/>
                <c:pt idx="0">
                  <c:v>6590173.2499999898</c:v>
                </c:pt>
                <c:pt idx="1">
                  <c:v>5892411.0999999996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5A-47F7-87B6-42ACDE46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858489"/>
        <c:axId val="72762131"/>
      </c:lineChart>
      <c:catAx>
        <c:axId val="89858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762131"/>
        <c:crosses val="autoZero"/>
        <c:auto val="1"/>
        <c:lblAlgn val="ctr"/>
        <c:lblOffset val="100"/>
        <c:noMultiLvlLbl val="0"/>
      </c:catAx>
      <c:valAx>
        <c:axId val="72762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8584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Pivot_City!$B$3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Pivot_City!$A$4:$A$11</c:f>
              <c:strCache>
                <c:ptCount val="8"/>
                <c:pt idx="0">
                  <c:v>Ghaziabad</c:v>
                </c:pt>
                <c:pt idx="1">
                  <c:v>Noida</c:v>
                </c:pt>
                <c:pt idx="2">
                  <c:v>Greater Noida</c:v>
                </c:pt>
                <c:pt idx="3">
                  <c:v>Meerut</c:v>
                </c:pt>
                <c:pt idx="4">
                  <c:v>Muradabad</c:v>
                </c:pt>
                <c:pt idx="5">
                  <c:v>Faridabad</c:v>
                </c:pt>
                <c:pt idx="6">
                  <c:v>Hapur</c:v>
                </c:pt>
                <c:pt idx="7">
                  <c:v>Modinagar</c:v>
                </c:pt>
              </c:strCache>
            </c:strRef>
          </c:cat>
          <c:val>
            <c:numRef>
              <c:f>Pivot_City!$B$4:$B$11</c:f>
              <c:numCache>
                <c:formatCode>General</c:formatCode>
                <c:ptCount val="8"/>
                <c:pt idx="0">
                  <c:v>3513527.2</c:v>
                </c:pt>
                <c:pt idx="1">
                  <c:v>2267410.2000000002</c:v>
                </c:pt>
                <c:pt idx="2">
                  <c:v>1965270.25</c:v>
                </c:pt>
                <c:pt idx="3">
                  <c:v>1573718.55</c:v>
                </c:pt>
                <c:pt idx="4">
                  <c:v>1289030.7</c:v>
                </c:pt>
                <c:pt idx="5">
                  <c:v>1240942.95</c:v>
                </c:pt>
                <c:pt idx="6">
                  <c:v>424820.75</c:v>
                </c:pt>
                <c:pt idx="7">
                  <c:v>207863.75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F-4FFA-A507-8F64366B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10054"/>
        <c:axId val="91277877"/>
      </c:barChart>
      <c:catAx>
        <c:axId val="159100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277877"/>
        <c:crosses val="autoZero"/>
        <c:auto val="1"/>
        <c:lblAlgn val="ctr"/>
        <c:lblOffset val="100"/>
        <c:noMultiLvlLbl val="0"/>
      </c:catAx>
      <c:valAx>
        <c:axId val="912778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910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Pivot_Brand!$B$3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Pivot_Brand!$A$4:$A$10</c:f>
              <c:strCache>
                <c:ptCount val="7"/>
                <c:pt idx="0">
                  <c:v>Symphony</c:v>
                </c:pt>
                <c:pt idx="1">
                  <c:v>Crompton</c:v>
                </c:pt>
                <c:pt idx="2">
                  <c:v>Kenstar</c:v>
                </c:pt>
                <c:pt idx="3">
                  <c:v>Bajaj</c:v>
                </c:pt>
                <c:pt idx="4">
                  <c:v>Orient</c:v>
                </c:pt>
                <c:pt idx="5">
                  <c:v>V-Guard</c:v>
                </c:pt>
                <c:pt idx="6">
                  <c:v>Generic</c:v>
                </c:pt>
              </c:strCache>
            </c:strRef>
          </c:cat>
          <c:val>
            <c:numRef>
              <c:f>Pivot_Brand!$B$4:$B$10</c:f>
              <c:numCache>
                <c:formatCode>General</c:formatCode>
                <c:ptCount val="7"/>
                <c:pt idx="0">
                  <c:v>5037683.95</c:v>
                </c:pt>
                <c:pt idx="1">
                  <c:v>3573862.95</c:v>
                </c:pt>
                <c:pt idx="2">
                  <c:v>1400463.9</c:v>
                </c:pt>
                <c:pt idx="3">
                  <c:v>1366633.65</c:v>
                </c:pt>
                <c:pt idx="4">
                  <c:v>980083.65</c:v>
                </c:pt>
                <c:pt idx="5">
                  <c:v>98515.4</c:v>
                </c:pt>
                <c:pt idx="6">
                  <c:v>25340.85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1-4A4E-AAEE-F13C179C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74367"/>
        <c:axId val="79568479"/>
      </c:barChart>
      <c:catAx>
        <c:axId val="4347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9568479"/>
        <c:crosses val="autoZero"/>
        <c:auto val="1"/>
        <c:lblAlgn val="ctr"/>
        <c:lblOffset val="100"/>
        <c:noMultiLvlLbl val="0"/>
      </c:catAx>
      <c:valAx>
        <c:axId val="795684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4743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5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51151673353027"/>
          <c:y val="0.1395106790181129"/>
          <c:w val="0.82427770326434235"/>
          <c:h val="0.777226190111672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Pivot_Product!$A$4:$A$8</c:f>
              <c:strCache>
                <c:ptCount val="5"/>
                <c:pt idx="0">
                  <c:v>Symphony Diet 35T</c:v>
                </c:pt>
                <c:pt idx="1">
                  <c:v>Optimus 100</c:v>
                </c:pt>
                <c:pt idx="2">
                  <c:v>TallDe</c:v>
                </c:pt>
                <c:pt idx="3">
                  <c:v>PX97 Torque</c:v>
                </c:pt>
                <c:pt idx="4">
                  <c:v>Fresco</c:v>
                </c:pt>
              </c:strCache>
            </c:strRef>
          </c:cat>
          <c:val>
            <c:numRef>
              <c:f>Pivot_Product!$B$4:$B$8</c:f>
              <c:numCache>
                <c:formatCode>General</c:formatCode>
                <c:ptCount val="5"/>
                <c:pt idx="0">
                  <c:v>5037683.95</c:v>
                </c:pt>
                <c:pt idx="1">
                  <c:v>2836458.85</c:v>
                </c:pt>
                <c:pt idx="2">
                  <c:v>1400463.9</c:v>
                </c:pt>
                <c:pt idx="3">
                  <c:v>1366633.65</c:v>
                </c:pt>
                <c:pt idx="4">
                  <c:v>980083.65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B-4333-9421-760B627F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3167"/>
        <c:axId val="9337168"/>
      </c:barChart>
      <c:catAx>
        <c:axId val="1084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337168"/>
        <c:crosses val="autoZero"/>
        <c:auto val="1"/>
        <c:lblAlgn val="ctr"/>
        <c:lblOffset val="100"/>
        <c:noMultiLvlLbl val="0"/>
      </c:catAx>
      <c:valAx>
        <c:axId val="93371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843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Pivot_Payment!$B$3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44-4722-B830-D2E8B0A09A2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44-4722-B830-D2E8B0A09A2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44-4722-B830-D2E8B0A09A2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F44-4722-B830-D2E8B0A09A2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F44-4722-B830-D2E8B0A09A2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F44-4722-B830-D2E8B0A09A2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F44-4722-B830-D2E8B0A09A2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F44-4722-B830-D2E8B0A09A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Pivot_Payment!$A$4:$A$7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UPI</c:v>
                </c:pt>
              </c:strCache>
            </c:strRef>
          </c:cat>
          <c:val>
            <c:numRef>
              <c:f>Pivot_Payment!$B$4:$B$7</c:f>
              <c:numCache>
                <c:formatCode>General</c:formatCode>
                <c:ptCount val="4"/>
                <c:pt idx="0">
                  <c:v>679739.8</c:v>
                </c:pt>
                <c:pt idx="1">
                  <c:v>2522406.5</c:v>
                </c:pt>
                <c:pt idx="2">
                  <c:v>3576878.6</c:v>
                </c:pt>
                <c:pt idx="3">
                  <c:v>5703559.4500000002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44-4722-B830-D2E8B0A0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Customer Segment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Pivot_CustomerSegment!$B$3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DF7-43FA-98DC-F740ADD9A3D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F7-43FA-98DC-F740ADD9A3D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DF7-43FA-98DC-F740ADD9A3D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DF7-43FA-98DC-F740ADD9A3D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DF7-43FA-98DC-F740ADD9A3D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DF7-43FA-98DC-F740ADD9A3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Pivot_CustomerSegment!$A$4:$A$6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Pivot_CustomerSegment!$B$4:$B$6</c:f>
              <c:numCache>
                <c:formatCode>General</c:formatCode>
                <c:ptCount val="3"/>
                <c:pt idx="0">
                  <c:v>155</c:v>
                </c:pt>
                <c:pt idx="1">
                  <c:v>171</c:v>
                </c:pt>
                <c:pt idx="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F7-43FA-98DC-F740ADD9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Sales Executive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Pivot_SalesExecutive!$B$3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Pivot_SalesExecutive!$A$4:$A$9</c:f>
              <c:strCache>
                <c:ptCount val="6"/>
                <c:pt idx="0">
                  <c:v>Aman</c:v>
                </c:pt>
                <c:pt idx="1">
                  <c:v>Priya</c:v>
                </c:pt>
                <c:pt idx="2">
                  <c:v>Neha</c:v>
                </c:pt>
                <c:pt idx="3">
                  <c:v>Rahul</c:v>
                </c:pt>
                <c:pt idx="4">
                  <c:v>Karan</c:v>
                </c:pt>
                <c:pt idx="5">
                  <c:v>Mohit</c:v>
                </c:pt>
              </c:strCache>
            </c:strRef>
          </c:cat>
          <c:val>
            <c:numRef>
              <c:f>Pivot_SalesExecutive!$B$4:$B$9</c:f>
              <c:numCache>
                <c:formatCode>General</c:formatCode>
                <c:ptCount val="6"/>
                <c:pt idx="0">
                  <c:v>2414254.85</c:v>
                </c:pt>
                <c:pt idx="1">
                  <c:v>2235484.4500000002</c:v>
                </c:pt>
                <c:pt idx="2">
                  <c:v>2112298.2999999998</c:v>
                </c:pt>
                <c:pt idx="3">
                  <c:v>1958579.2</c:v>
                </c:pt>
                <c:pt idx="4">
                  <c:v>1907075.15</c:v>
                </c:pt>
                <c:pt idx="5">
                  <c:v>1854892.4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1-46AD-B179-2030BB182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02852"/>
        <c:axId val="74490157"/>
      </c:barChart>
      <c:catAx>
        <c:axId val="67802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4490157"/>
        <c:crosses val="autoZero"/>
        <c:auto val="1"/>
        <c:lblAlgn val="ctr"/>
        <c:lblOffset val="100"/>
        <c:noMultiLvlLbl val="0"/>
      </c:catAx>
      <c:valAx>
        <c:axId val="74490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802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429295</xdr:colOff>
      <xdr:row>15</xdr:row>
      <xdr:rowOff>47727</xdr:rowOff>
    </xdr:from>
    <xdr:to>
      <xdr:col>11</xdr:col>
      <xdr:colOff>713361</xdr:colOff>
      <xdr:row>47</xdr:row>
      <xdr:rowOff>81064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42932</xdr:colOff>
      <xdr:row>14</xdr:row>
      <xdr:rowOff>97276</xdr:rowOff>
    </xdr:from>
    <xdr:to>
      <xdr:col>37</xdr:col>
      <xdr:colOff>453957</xdr:colOff>
      <xdr:row>47</xdr:row>
      <xdr:rowOff>129701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437745</xdr:colOff>
      <xdr:row>51</xdr:row>
      <xdr:rowOff>172499</xdr:rowOff>
    </xdr:from>
    <xdr:to>
      <xdr:col>12</xdr:col>
      <xdr:colOff>64851</xdr:colOff>
      <xdr:row>87</xdr:row>
      <xdr:rowOff>113490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64397</xdr:colOff>
      <xdr:row>52</xdr:row>
      <xdr:rowOff>36766</xdr:rowOff>
    </xdr:from>
    <xdr:to>
      <xdr:col>38</xdr:col>
      <xdr:colOff>178340</xdr:colOff>
      <xdr:row>87</xdr:row>
      <xdr:rowOff>48639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421530</xdr:colOff>
      <xdr:row>90</xdr:row>
      <xdr:rowOff>106965</xdr:rowOff>
    </xdr:from>
    <xdr:to>
      <xdr:col>12</xdr:col>
      <xdr:colOff>162127</xdr:colOff>
      <xdr:row>122</xdr:row>
      <xdr:rowOff>97278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102527</xdr:colOff>
      <xdr:row>90</xdr:row>
      <xdr:rowOff>123766</xdr:rowOff>
    </xdr:from>
    <xdr:to>
      <xdr:col>38</xdr:col>
      <xdr:colOff>291829</xdr:colOff>
      <xdr:row>122</xdr:row>
      <xdr:rowOff>64851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470170</xdr:colOff>
      <xdr:row>125</xdr:row>
      <xdr:rowOff>10735</xdr:rowOff>
    </xdr:from>
    <xdr:to>
      <xdr:col>12</xdr:col>
      <xdr:colOff>210767</xdr:colOff>
      <xdr:row>160</xdr:row>
      <xdr:rowOff>81065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00" xr:uid="{00000000-000A-0000-FFFF-FFFF01000000}">
  <cacheSource type="worksheet">
    <worksheetSource ref="A1:Z501" sheet="RetailSales"/>
  </cacheSource>
  <cacheFields count="26">
    <cacheField name="Order ID" numFmtId="0">
      <sharedItems count="500"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</sharedItems>
    </cacheField>
    <cacheField name="Invoice ID" numFmtId="0">
      <sharedItems count="500">
        <s v="INV5001"/>
        <s v="INV5002"/>
        <s v="INV5003"/>
        <s v="INV5004"/>
        <s v="INV5005"/>
        <s v="INV5006"/>
        <s v="INV5007"/>
        <s v="INV5008"/>
        <s v="INV5009"/>
        <s v="INV5010"/>
        <s v="INV5011"/>
        <s v="INV5012"/>
        <s v="INV5013"/>
        <s v="INV5014"/>
        <s v="INV5015"/>
        <s v="INV5016"/>
        <s v="INV5017"/>
        <s v="INV5018"/>
        <s v="INV5019"/>
        <s v="INV5020"/>
        <s v="INV5021"/>
        <s v="INV5022"/>
        <s v="INV5023"/>
        <s v="INV5024"/>
        <s v="INV5025"/>
        <s v="INV5026"/>
        <s v="INV5027"/>
        <s v="INV5028"/>
        <s v="INV5029"/>
        <s v="INV5030"/>
        <s v="INV5031"/>
        <s v="INV5032"/>
        <s v="INV5033"/>
        <s v="INV5034"/>
        <s v="INV5035"/>
        <s v="INV5036"/>
        <s v="INV5037"/>
        <s v="INV5038"/>
        <s v="INV5039"/>
        <s v="INV5040"/>
        <s v="INV5041"/>
        <s v="INV5042"/>
        <s v="INV5043"/>
        <s v="INV5044"/>
        <s v="INV5045"/>
        <s v="INV5046"/>
        <s v="INV5047"/>
        <s v="INV5048"/>
        <s v="INV5049"/>
        <s v="INV5050"/>
        <s v="INV5051"/>
        <s v="INV5052"/>
        <s v="INV5053"/>
        <s v="INV5054"/>
        <s v="INV5055"/>
        <s v="INV5056"/>
        <s v="INV5057"/>
        <s v="INV5058"/>
        <s v="INV5059"/>
        <s v="INV5060"/>
        <s v="INV5061"/>
        <s v="INV5062"/>
        <s v="INV5063"/>
        <s v="INV5064"/>
        <s v="INV5065"/>
        <s v="INV5066"/>
        <s v="INV5067"/>
        <s v="INV5068"/>
        <s v="INV5069"/>
        <s v="INV5070"/>
        <s v="INV5071"/>
        <s v="INV5072"/>
        <s v="INV5073"/>
        <s v="INV5074"/>
        <s v="INV5075"/>
        <s v="INV5076"/>
        <s v="INV5077"/>
        <s v="INV5078"/>
        <s v="INV5079"/>
        <s v="INV5080"/>
        <s v="INV5081"/>
        <s v="INV5082"/>
        <s v="INV5083"/>
        <s v="INV5084"/>
        <s v="INV5085"/>
        <s v="INV5086"/>
        <s v="INV5087"/>
        <s v="INV5088"/>
        <s v="INV5089"/>
        <s v="INV5090"/>
        <s v="INV5091"/>
        <s v="INV5092"/>
        <s v="INV5093"/>
        <s v="INV5094"/>
        <s v="INV5095"/>
        <s v="INV5096"/>
        <s v="INV5097"/>
        <s v="INV5098"/>
        <s v="INV5099"/>
        <s v="INV5100"/>
        <s v="INV5101"/>
        <s v="INV5102"/>
        <s v="INV5103"/>
        <s v="INV5104"/>
        <s v="INV5105"/>
        <s v="INV5106"/>
        <s v="INV5107"/>
        <s v="INV5108"/>
        <s v="INV5109"/>
        <s v="INV5110"/>
        <s v="INV5111"/>
        <s v="INV5112"/>
        <s v="INV5113"/>
        <s v="INV5114"/>
        <s v="INV5115"/>
        <s v="INV5116"/>
        <s v="INV5117"/>
        <s v="INV5118"/>
        <s v="INV5119"/>
        <s v="INV5120"/>
        <s v="INV5121"/>
        <s v="INV5122"/>
        <s v="INV5123"/>
        <s v="INV5124"/>
        <s v="INV5125"/>
        <s v="INV5126"/>
        <s v="INV5127"/>
        <s v="INV5128"/>
        <s v="INV5129"/>
        <s v="INV5130"/>
        <s v="INV5131"/>
        <s v="INV5132"/>
        <s v="INV5133"/>
        <s v="INV5134"/>
        <s v="INV5135"/>
        <s v="INV5136"/>
        <s v="INV5137"/>
        <s v="INV5138"/>
        <s v="INV5139"/>
        <s v="INV5140"/>
        <s v="INV5141"/>
        <s v="INV5142"/>
        <s v="INV5143"/>
        <s v="INV5144"/>
        <s v="INV5145"/>
        <s v="INV5146"/>
        <s v="INV5147"/>
        <s v="INV5148"/>
        <s v="INV5149"/>
        <s v="INV5150"/>
        <s v="INV5151"/>
        <s v="INV5152"/>
        <s v="INV5153"/>
        <s v="INV5154"/>
        <s v="INV5155"/>
        <s v="INV5156"/>
        <s v="INV5157"/>
        <s v="INV5158"/>
        <s v="INV5159"/>
        <s v="INV5160"/>
        <s v="INV5161"/>
        <s v="INV5162"/>
        <s v="INV5163"/>
        <s v="INV5164"/>
        <s v="INV5165"/>
        <s v="INV5166"/>
        <s v="INV5167"/>
        <s v="INV5168"/>
        <s v="INV5169"/>
        <s v="INV5170"/>
        <s v="INV5171"/>
        <s v="INV5172"/>
        <s v="INV5173"/>
        <s v="INV5174"/>
        <s v="INV5175"/>
        <s v="INV5176"/>
        <s v="INV5177"/>
        <s v="INV5178"/>
        <s v="INV5179"/>
        <s v="INV5180"/>
        <s v="INV5181"/>
        <s v="INV5182"/>
        <s v="INV5183"/>
        <s v="INV5184"/>
        <s v="INV5185"/>
        <s v="INV5186"/>
        <s v="INV5187"/>
        <s v="INV5188"/>
        <s v="INV5189"/>
        <s v="INV5190"/>
        <s v="INV5191"/>
        <s v="INV5192"/>
        <s v="INV5193"/>
        <s v="INV5194"/>
        <s v="INV5195"/>
        <s v="INV5196"/>
        <s v="INV5197"/>
        <s v="INV5198"/>
        <s v="INV5199"/>
        <s v="INV5200"/>
        <s v="INV5201"/>
        <s v="INV5202"/>
        <s v="INV5203"/>
        <s v="INV5204"/>
        <s v="INV5205"/>
        <s v="INV5206"/>
        <s v="INV5207"/>
        <s v="INV5208"/>
        <s v="INV5209"/>
        <s v="INV5210"/>
        <s v="INV5211"/>
        <s v="INV5212"/>
        <s v="INV5213"/>
        <s v="INV5214"/>
        <s v="INV5215"/>
        <s v="INV5216"/>
        <s v="INV5217"/>
        <s v="INV5218"/>
        <s v="INV5219"/>
        <s v="INV5220"/>
        <s v="INV5221"/>
        <s v="INV5222"/>
        <s v="INV5223"/>
        <s v="INV5224"/>
        <s v="INV5225"/>
        <s v="INV5226"/>
        <s v="INV5227"/>
        <s v="INV5228"/>
        <s v="INV5229"/>
        <s v="INV5230"/>
        <s v="INV5231"/>
        <s v="INV5232"/>
        <s v="INV5233"/>
        <s v="INV5234"/>
        <s v="INV5235"/>
        <s v="INV5236"/>
        <s v="INV5237"/>
        <s v="INV5238"/>
        <s v="INV5239"/>
        <s v="INV5240"/>
        <s v="INV5241"/>
        <s v="INV5242"/>
        <s v="INV5243"/>
        <s v="INV5244"/>
        <s v="INV5245"/>
        <s v="INV5246"/>
        <s v="INV5247"/>
        <s v="INV5248"/>
        <s v="INV5249"/>
        <s v="INV5250"/>
        <s v="INV5251"/>
        <s v="INV5252"/>
        <s v="INV5253"/>
        <s v="INV5254"/>
        <s v="INV5255"/>
        <s v="INV5256"/>
        <s v="INV5257"/>
        <s v="INV5258"/>
        <s v="INV5259"/>
        <s v="INV5260"/>
        <s v="INV5261"/>
        <s v="INV5262"/>
        <s v="INV5263"/>
        <s v="INV5264"/>
        <s v="INV5265"/>
        <s v="INV5266"/>
        <s v="INV5267"/>
        <s v="INV5268"/>
        <s v="INV5269"/>
        <s v="INV5270"/>
        <s v="INV5271"/>
        <s v="INV5272"/>
        <s v="INV5273"/>
        <s v="INV5274"/>
        <s v="INV5275"/>
        <s v="INV5276"/>
        <s v="INV5277"/>
        <s v="INV5278"/>
        <s v="INV5279"/>
        <s v="INV5280"/>
        <s v="INV5281"/>
        <s v="INV5282"/>
        <s v="INV5283"/>
        <s v="INV5284"/>
        <s v="INV5285"/>
        <s v="INV5286"/>
        <s v="INV5287"/>
        <s v="INV5288"/>
        <s v="INV5289"/>
        <s v="INV5290"/>
        <s v="INV5291"/>
        <s v="INV5292"/>
        <s v="INV5293"/>
        <s v="INV5294"/>
        <s v="INV5295"/>
        <s v="INV5296"/>
        <s v="INV5297"/>
        <s v="INV5298"/>
        <s v="INV5299"/>
        <s v="INV5300"/>
        <s v="INV5301"/>
        <s v="INV5302"/>
        <s v="INV5303"/>
        <s v="INV5304"/>
        <s v="INV5305"/>
        <s v="INV5306"/>
        <s v="INV5307"/>
        <s v="INV5308"/>
        <s v="INV5309"/>
        <s v="INV5310"/>
        <s v="INV5311"/>
        <s v="INV5312"/>
        <s v="INV5313"/>
        <s v="INV5314"/>
        <s v="INV5315"/>
        <s v="INV5316"/>
        <s v="INV5317"/>
        <s v="INV5318"/>
        <s v="INV5319"/>
        <s v="INV5320"/>
        <s v="INV5321"/>
        <s v="INV5322"/>
        <s v="INV5323"/>
        <s v="INV5324"/>
        <s v="INV5325"/>
        <s v="INV5326"/>
        <s v="INV5327"/>
        <s v="INV5328"/>
        <s v="INV5329"/>
        <s v="INV5330"/>
        <s v="INV5331"/>
        <s v="INV5332"/>
        <s v="INV5333"/>
        <s v="INV5334"/>
        <s v="INV5335"/>
        <s v="INV5336"/>
        <s v="INV5337"/>
        <s v="INV5338"/>
        <s v="INV5339"/>
        <s v="INV5340"/>
        <s v="INV5341"/>
        <s v="INV5342"/>
        <s v="INV5343"/>
        <s v="INV5344"/>
        <s v="INV5345"/>
        <s v="INV5346"/>
        <s v="INV5347"/>
        <s v="INV5348"/>
        <s v="INV5349"/>
        <s v="INV5350"/>
        <s v="INV5351"/>
        <s v="INV5352"/>
        <s v="INV5353"/>
        <s v="INV5354"/>
        <s v="INV5355"/>
        <s v="INV5356"/>
        <s v="INV5357"/>
        <s v="INV5358"/>
        <s v="INV5359"/>
        <s v="INV5360"/>
        <s v="INV5361"/>
        <s v="INV5362"/>
        <s v="INV5363"/>
        <s v="INV5364"/>
        <s v="INV5365"/>
        <s v="INV5366"/>
        <s v="INV5367"/>
        <s v="INV5368"/>
        <s v="INV5369"/>
        <s v="INV5370"/>
        <s v="INV5371"/>
        <s v="INV5372"/>
        <s v="INV5373"/>
        <s v="INV5374"/>
        <s v="INV5375"/>
        <s v="INV5376"/>
        <s v="INV5377"/>
        <s v="INV5378"/>
        <s v="INV5379"/>
        <s v="INV5380"/>
        <s v="INV5381"/>
        <s v="INV5382"/>
        <s v="INV5383"/>
        <s v="INV5384"/>
        <s v="INV5385"/>
        <s v="INV5386"/>
        <s v="INV5387"/>
        <s v="INV5388"/>
        <s v="INV5389"/>
        <s v="INV5390"/>
        <s v="INV5391"/>
        <s v="INV5392"/>
        <s v="INV5393"/>
        <s v="INV5394"/>
        <s v="INV5395"/>
        <s v="INV5396"/>
        <s v="INV5397"/>
        <s v="INV5398"/>
        <s v="INV5399"/>
        <s v="INV5400"/>
        <s v="INV5401"/>
        <s v="INV5402"/>
        <s v="INV5403"/>
        <s v="INV5404"/>
        <s v="INV5405"/>
        <s v="INV5406"/>
        <s v="INV5407"/>
        <s v="INV5408"/>
        <s v="INV5409"/>
        <s v="INV5410"/>
        <s v="INV5411"/>
        <s v="INV5412"/>
        <s v="INV5413"/>
        <s v="INV5414"/>
        <s v="INV5415"/>
        <s v="INV5416"/>
        <s v="INV5417"/>
        <s v="INV5418"/>
        <s v="INV5419"/>
        <s v="INV5420"/>
        <s v="INV5421"/>
        <s v="INV5422"/>
        <s v="INV5423"/>
        <s v="INV5424"/>
        <s v="INV5425"/>
        <s v="INV5426"/>
        <s v="INV5427"/>
        <s v="INV5428"/>
        <s v="INV5429"/>
        <s v="INV5430"/>
        <s v="INV5431"/>
        <s v="INV5432"/>
        <s v="INV5433"/>
        <s v="INV5434"/>
        <s v="INV5435"/>
        <s v="INV5436"/>
        <s v="INV5437"/>
        <s v="INV5438"/>
        <s v="INV5439"/>
        <s v="INV5440"/>
        <s v="INV5441"/>
        <s v="INV5442"/>
        <s v="INV5443"/>
        <s v="INV5444"/>
        <s v="INV5445"/>
        <s v="INV5446"/>
        <s v="INV5447"/>
        <s v="INV5448"/>
        <s v="INV5449"/>
        <s v="INV5450"/>
        <s v="INV5451"/>
        <s v="INV5452"/>
        <s v="INV5453"/>
        <s v="INV5454"/>
        <s v="INV5455"/>
        <s v="INV5456"/>
        <s v="INV5457"/>
        <s v="INV5458"/>
        <s v="INV5459"/>
        <s v="INV5460"/>
        <s v="INV5461"/>
        <s v="INV5462"/>
        <s v="INV5463"/>
        <s v="INV5464"/>
        <s v="INV5465"/>
        <s v="INV5466"/>
        <s v="INV5467"/>
        <s v="INV5468"/>
        <s v="INV5469"/>
        <s v="INV5470"/>
        <s v="INV5471"/>
        <s v="INV5472"/>
        <s v="INV5473"/>
        <s v="INV5474"/>
        <s v="INV5475"/>
        <s v="INV5476"/>
        <s v="INV5477"/>
        <s v="INV5478"/>
        <s v="INV5479"/>
        <s v="INV5480"/>
        <s v="INV5481"/>
        <s v="INV5482"/>
        <s v="INV5483"/>
        <s v="INV5484"/>
        <s v="INV5485"/>
        <s v="INV5486"/>
        <s v="INV5487"/>
        <s v="INV5488"/>
        <s v="INV5489"/>
        <s v="INV5490"/>
        <s v="INV5491"/>
        <s v="INV5492"/>
        <s v="INV5493"/>
        <s v="INV5494"/>
        <s v="INV5495"/>
        <s v="INV5496"/>
        <s v="INV5497"/>
        <s v="INV5498"/>
        <s v="INV5499"/>
        <s v="INV5500"/>
      </sharedItems>
    </cacheField>
    <cacheField name="Order Date" numFmtId="0">
      <sharedItems containsSemiMixedTypes="0" containsNonDate="0" containsDate="1" containsString="0" minDate="2026-05-01T00:00:00" maxDate="2026-06-30T00:00:00" count="6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Month" numFmtId="0">
      <sharedItems count="2">
        <s v="June"/>
        <s v="May"/>
      </sharedItems>
    </cacheField>
    <cacheField name="City" numFmtId="0">
      <sharedItems count="8">
        <s v="Faridabad"/>
        <s v="Ghaziabad"/>
        <s v="Greater Noida"/>
        <s v="Hapur"/>
        <s v="Meerut"/>
        <s v="Modinagar"/>
        <s v="Muradabad"/>
        <s v="Noida"/>
      </sharedItems>
    </cacheField>
    <cacheField name="Customer ID" numFmtId="0">
      <sharedItems count="167">
        <s v="CUST2002"/>
        <s v="CUST2003"/>
        <s v="CUST2004"/>
        <s v="CUST2005"/>
        <s v="CUST2006"/>
        <s v="CUST2007"/>
        <s v="CUST2008"/>
        <s v="CUST2009"/>
        <s v="CUST2010"/>
        <s v="CUST2011"/>
        <s v="CUST2012"/>
        <s v="CUST2013"/>
        <s v="CUST2014"/>
        <s v="CUST2015"/>
        <s v="CUST2016"/>
        <s v="CUST2017"/>
        <s v="CUST2018"/>
        <s v="CUST2019"/>
        <s v="CUST2020"/>
        <s v="CUST2021"/>
        <s v="CUST2022"/>
        <s v="CUST2023"/>
        <s v="CUST2024"/>
        <s v="CUST2025"/>
        <s v="CUST2026"/>
        <s v="CUST2027"/>
        <s v="CUST2028"/>
        <s v="CUST2029"/>
        <s v="CUST2030"/>
        <s v="CUST2031"/>
        <s v="CUST2032"/>
        <s v="CUST2033"/>
        <s v="CUST2034"/>
        <s v="CUST2035"/>
        <s v="CUST2036"/>
        <s v="CUST2037"/>
        <s v="CUST2038"/>
        <s v="CUST2039"/>
        <s v="CUST2041"/>
        <s v="CUST2042"/>
        <s v="CUST2043"/>
        <s v="CUST2044"/>
        <s v="CUST2045"/>
        <s v="CUST2046"/>
        <s v="CUST2047"/>
        <s v="CUST2049"/>
        <s v="CUST2050"/>
        <s v="CUST2051"/>
        <s v="CUST2052"/>
        <s v="CUST2053"/>
        <s v="CUST2054"/>
        <s v="CUST2055"/>
        <s v="CUST2056"/>
        <s v="CUST2057"/>
        <s v="CUST2058"/>
        <s v="CUST2060"/>
        <s v="CUST2061"/>
        <s v="CUST2062"/>
        <s v="CUST2063"/>
        <s v="CUST2064"/>
        <s v="CUST2065"/>
        <s v="CUST2066"/>
        <s v="CUST2067"/>
        <s v="CUST2069"/>
        <s v="CUST2071"/>
        <s v="CUST2072"/>
        <s v="CUST2073"/>
        <s v="CUST2074"/>
        <s v="CUST2075"/>
        <s v="CUST2076"/>
        <s v="CUST2078"/>
        <s v="CUST2079"/>
        <s v="CUST2080"/>
        <s v="CUST2081"/>
        <s v="CUST2082"/>
        <s v="CUST2083"/>
        <s v="CUST2085"/>
        <s v="CUST2086"/>
        <s v="CUST2087"/>
        <s v="CUST2088"/>
        <s v="CUST2089"/>
        <s v="CUST2090"/>
        <s v="CUST2091"/>
        <s v="CUST2092"/>
        <s v="CUST2093"/>
        <s v="CUST2094"/>
        <s v="CUST2095"/>
        <s v="CUST2097"/>
        <s v="CUST2098"/>
        <s v="CUST2099"/>
        <s v="CUST2100"/>
        <s v="CUST2101"/>
        <s v="CUST2102"/>
        <s v="CUST2103"/>
        <s v="CUST2104"/>
        <s v="CUST2105"/>
        <s v="CUST2106"/>
        <s v="CUST2107"/>
        <s v="CUST2108"/>
        <s v="CUST2109"/>
        <s v="CUST2110"/>
        <s v="CUST2111"/>
        <s v="CUST2112"/>
        <s v="CUST2113"/>
        <s v="CUST2114"/>
        <s v="CUST2115"/>
        <s v="CUST2116"/>
        <s v="CUST2117"/>
        <s v="CUST2118"/>
        <s v="CUST2119"/>
        <s v="CUST2120"/>
        <s v="CUST2121"/>
        <s v="CUST2122"/>
        <s v="CUST2123"/>
        <s v="CUST2124"/>
        <s v="CUST2125"/>
        <s v="CUST2126"/>
        <s v="CUST2127"/>
        <s v="CUST2129"/>
        <s v="CUST2130"/>
        <s v="CUST2131"/>
        <s v="CUST2132"/>
        <s v="CUST2133"/>
        <s v="CUST2134"/>
        <s v="CUST2135"/>
        <s v="CUST2136"/>
        <s v="CUST2137"/>
        <s v="CUST2138"/>
        <s v="CUST2140"/>
        <s v="CUST2141"/>
        <s v="CUST2142"/>
        <s v="CUST2143"/>
        <s v="CUST2144"/>
        <s v="CUST2145"/>
        <s v="CUST2146"/>
        <s v="CUST2147"/>
        <s v="CUST2148"/>
        <s v="CUST2149"/>
        <s v="CUST2150"/>
        <s v="CUST2151"/>
        <s v="CUST2152"/>
        <s v="CUST2153"/>
        <s v="CUST2154"/>
        <s v="CUST2155"/>
        <s v="CUST2158"/>
        <s v="CUST2160"/>
        <s v="CUST2161"/>
        <s v="CUST2162"/>
        <s v="CUST2163"/>
        <s v="CUST2164"/>
        <s v="CUST2165"/>
        <s v="CUST2166"/>
        <s v="CUST2167"/>
        <s v="CUST2168"/>
        <s v="CUST2169"/>
        <s v="CUST2170"/>
        <s v="CUST2171"/>
        <s v="CUST2172"/>
        <s v="CUST2173"/>
        <s v="CUST2174"/>
        <s v="CUST2175"/>
        <s v="CUST2176"/>
        <s v="CUST2177"/>
        <s v="CUST2178"/>
        <s v="CUST2179"/>
        <s v="CUST2180"/>
        <s v="CUST2181"/>
      </sharedItems>
    </cacheField>
    <cacheField name="Customer Name" numFmtId="0">
      <sharedItems count="50">
        <s v="Abhishek Goel"/>
        <s v="Aditi Gupta"/>
        <s v="Aditya Jain"/>
        <s v="Akash Tyagi"/>
        <s v="Aman Verma"/>
        <s v="Anjali Sharma"/>
        <s v="Ankit Gupta"/>
        <s v="Arjun Saini"/>
        <s v="Aryan Malhotra"/>
        <s v="Ayush Garg"/>
        <s v="Chirag Bansal"/>
        <s v="Deepak Chauhan"/>
        <s v="Dev Sharma"/>
        <s v="Divya Arora"/>
        <s v="Gaurav Mittal"/>
        <s v="Harsh Jain"/>
        <s v="Ishita Gupta"/>
        <s v="Karan Mehta"/>
        <s v="Kavya Verma"/>
        <s v="Khushi Singh"/>
        <s v="Komal Sharma"/>
        <s v="Lakshya Jain"/>
        <s v="Manish Agarwal"/>
        <s v="Mehak Sharma"/>
        <s v="Mohit Yadav"/>
        <s v="Muskan Goel"/>
        <s v="Naina Arora"/>
        <s v="Neha Gupta"/>
        <s v="Nikhil Arora"/>
        <s v="Nikita Kapoor"/>
        <s v="Palak Goel"/>
        <s v="Pooja Jain"/>
        <s v="Priya Singh"/>
        <s v="Rahul Sharma"/>
        <s v="Ritika Jain"/>
        <s v="Ritu Singh"/>
        <s v="Riya Bansal"/>
        <s v="Rohan Kapoor"/>
        <s v="Rohit Saxena"/>
        <s v="Sakshi Gupta"/>
        <s v="Saurabh Sharma"/>
        <s v="Shivam Verma"/>
        <s v="Shreya Kapoor"/>
        <s v="Simran Kaur"/>
        <s v="Sneha Agarwal"/>
        <s v="Tanvi Bhatia"/>
        <s v="Tushar Singh"/>
        <s v="Varun Goyal"/>
        <s v="Vishal Verma"/>
        <s v="Yash Gupta"/>
      </sharedItems>
    </cacheField>
    <cacheField name="Gender" numFmtId="0">
      <sharedItems count="2">
        <s v="Female"/>
        <s v="Male"/>
      </sharedItems>
    </cacheField>
    <cacheField name="Customer Type" numFmtId="0">
      <sharedItems count="2">
        <s v="Dealer"/>
        <s v="Retail"/>
      </sharedItems>
    </cacheField>
    <cacheField name="Product Category" numFmtId="0">
      <sharedItems count="7">
        <s v="Cooling Pad"/>
        <s v="Desert Cooler"/>
        <s v="Fan Motor"/>
        <s v="Personal Cooler"/>
        <s v="Tower Cooler"/>
        <s v="Voltage Stabilizer"/>
        <s v="Window Cooler"/>
      </sharedItems>
    </cacheField>
    <cacheField name="Product Name" numFmtId="0">
      <sharedItems count="9">
        <s v="Cooler Motor"/>
        <s v="Fresco"/>
        <s v="Honeycomb Pad"/>
        <s v="Optimus 100"/>
        <s v="Ozone"/>
        <s v="PX97 Torque"/>
        <s v="Symphony Diet 35T"/>
        <s v="TallDe"/>
        <s v="VG4000"/>
      </sharedItems>
    </cacheField>
    <cacheField name="Brand" numFmtId="0">
      <sharedItems count="7">
        <s v="Bajaj"/>
        <s v="Crompton"/>
        <s v="Generic"/>
        <s v="Kenstar"/>
        <s v="Orient"/>
        <s v="Symphony"/>
        <s v="V-Guard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 Price" numFmtId="0">
      <sharedItems containsSemiMixedTypes="0" containsString="0" containsNumber="1" containsInteger="1" minValue="803" maxValue="17998" count="490">
        <n v="803"/>
        <n v="1063"/>
        <n v="1265"/>
        <n v="1350"/>
        <n v="1366"/>
        <n v="1408"/>
        <n v="1420"/>
        <n v="1505"/>
        <n v="1756"/>
        <n v="1758"/>
        <n v="2171"/>
        <n v="2522"/>
        <n v="2552"/>
        <n v="2708"/>
        <n v="2806"/>
        <n v="2884"/>
        <n v="3037"/>
        <n v="3062"/>
        <n v="3294"/>
        <n v="3345"/>
        <n v="3675"/>
        <n v="3703"/>
        <n v="3769"/>
        <n v="3777"/>
        <n v="3936"/>
        <n v="4093"/>
        <n v="4099"/>
        <n v="7009"/>
        <n v="7025"/>
        <n v="7027"/>
        <n v="7035"/>
        <n v="7055"/>
        <n v="7082"/>
        <n v="7172"/>
        <n v="7188"/>
        <n v="7197"/>
        <n v="7202"/>
        <n v="7215"/>
        <n v="7281"/>
        <n v="7392"/>
        <n v="7402"/>
        <n v="7409"/>
        <n v="7431"/>
        <n v="7434"/>
        <n v="7473"/>
        <n v="7498"/>
        <n v="7499"/>
        <n v="7509"/>
        <n v="7517"/>
        <n v="7519"/>
        <n v="7525"/>
        <n v="7530"/>
        <n v="7537"/>
        <n v="7549"/>
        <n v="7602"/>
        <n v="7628"/>
        <n v="7630"/>
        <n v="7635"/>
        <n v="7640"/>
        <n v="7659"/>
        <n v="7660"/>
        <n v="7676"/>
        <n v="7690"/>
        <n v="7696"/>
        <n v="7698"/>
        <n v="7735"/>
        <n v="7737"/>
        <n v="7749"/>
        <n v="7757"/>
        <n v="7767"/>
        <n v="7783"/>
        <n v="7784"/>
        <n v="7788"/>
        <n v="7810"/>
        <n v="7813"/>
        <n v="7814"/>
        <n v="7816"/>
        <n v="7834"/>
        <n v="7839"/>
        <n v="7847"/>
        <n v="7858"/>
        <n v="7910"/>
        <n v="7932"/>
        <n v="7969"/>
        <n v="7971"/>
        <n v="8001"/>
        <n v="8014"/>
        <n v="8016"/>
        <n v="8023"/>
        <n v="8053"/>
        <n v="8066"/>
        <n v="8071"/>
        <n v="8074"/>
        <n v="8095"/>
        <n v="8112"/>
        <n v="8171"/>
        <n v="8186"/>
        <n v="8190"/>
        <n v="8195"/>
        <n v="8209"/>
        <n v="8215"/>
        <n v="8233"/>
        <n v="8245"/>
        <n v="8250"/>
        <n v="8268"/>
        <n v="8289"/>
        <n v="8290"/>
        <n v="8301"/>
        <n v="8308"/>
        <n v="8343"/>
        <n v="8354"/>
        <n v="8364"/>
        <n v="8383"/>
        <n v="8419"/>
        <n v="8438"/>
        <n v="8457"/>
        <n v="8471"/>
        <n v="8472"/>
        <n v="8505"/>
        <n v="8541"/>
        <n v="8608"/>
        <n v="8623"/>
        <n v="8631"/>
        <n v="8635"/>
        <n v="8638"/>
        <n v="8642"/>
        <n v="8665"/>
        <n v="8682"/>
        <n v="8697"/>
        <n v="8708"/>
        <n v="8710"/>
        <n v="8722"/>
        <n v="8723"/>
        <n v="8726"/>
        <n v="8740"/>
        <n v="8746"/>
        <n v="8748"/>
        <n v="8751"/>
        <n v="8752"/>
        <n v="8764"/>
        <n v="8819"/>
        <n v="8853"/>
        <n v="8867"/>
        <n v="8868"/>
        <n v="8876"/>
        <n v="8929"/>
        <n v="8934"/>
        <n v="8935"/>
        <n v="8936"/>
        <n v="8949"/>
        <n v="8965"/>
        <n v="8974"/>
        <n v="8978"/>
        <n v="8983"/>
        <n v="8990"/>
        <n v="9011"/>
        <n v="9039"/>
        <n v="9058"/>
        <n v="9103"/>
        <n v="9119"/>
        <n v="9123"/>
        <n v="9131"/>
        <n v="9142"/>
        <n v="9160"/>
        <n v="9182"/>
        <n v="9240"/>
        <n v="9284"/>
        <n v="9302"/>
        <n v="9320"/>
        <n v="9322"/>
        <n v="9344"/>
        <n v="9370"/>
        <n v="9405"/>
        <n v="9433"/>
        <n v="9523"/>
        <n v="9543"/>
        <n v="9566"/>
        <n v="9569"/>
        <n v="9681"/>
        <n v="9693"/>
        <n v="9762"/>
        <n v="9852"/>
        <n v="9953"/>
        <n v="9969"/>
        <n v="10039"/>
        <n v="10070"/>
        <n v="10145"/>
        <n v="10147"/>
        <n v="10167"/>
        <n v="10225"/>
        <n v="10244"/>
        <n v="10272"/>
        <n v="10274"/>
        <n v="10300"/>
        <n v="10428"/>
        <n v="10512"/>
        <n v="10522"/>
        <n v="10561"/>
        <n v="10585"/>
        <n v="10648"/>
        <n v="10658"/>
        <n v="10734"/>
        <n v="10740"/>
        <n v="10824"/>
        <n v="10846"/>
        <n v="10908"/>
        <n v="10936"/>
        <n v="10959"/>
        <n v="10978"/>
        <n v="10991"/>
        <n v="11019"/>
        <n v="11031"/>
        <n v="11049"/>
        <n v="11053"/>
        <n v="11107"/>
        <n v="11121"/>
        <n v="11170"/>
        <n v="11226"/>
        <n v="11264"/>
        <n v="11331"/>
        <n v="11385"/>
        <n v="11410"/>
        <n v="11473"/>
        <n v="11524"/>
        <n v="11526"/>
        <n v="11535"/>
        <n v="11537"/>
        <n v="11647"/>
        <n v="11671"/>
        <n v="11728"/>
        <n v="11747"/>
        <n v="11767"/>
        <n v="11769"/>
        <n v="11785"/>
        <n v="11800"/>
        <n v="11811"/>
        <n v="11854"/>
        <n v="11866"/>
        <n v="11946"/>
        <n v="11997"/>
        <n v="12051"/>
        <n v="12058"/>
        <n v="12264"/>
        <n v="12285"/>
        <n v="12356"/>
        <n v="12387"/>
        <n v="12740"/>
        <n v="13041"/>
        <n v="13065"/>
        <n v="13147"/>
        <n v="13186"/>
        <n v="13286"/>
        <n v="13385"/>
        <n v="13544"/>
        <n v="13628"/>
        <n v="13690"/>
        <n v="13937"/>
        <n v="13998"/>
        <n v="14546"/>
        <n v="14550"/>
        <n v="14668"/>
        <n v="14681"/>
        <n v="14685"/>
        <n v="14704"/>
        <n v="14718"/>
        <n v="14732"/>
        <n v="14738"/>
        <n v="14748"/>
        <n v="14804"/>
        <n v="14813"/>
        <n v="14845"/>
        <n v="14859"/>
        <n v="14897"/>
        <n v="14919"/>
        <n v="14953"/>
        <n v="14980"/>
        <n v="14994"/>
        <n v="15088"/>
        <n v="15101"/>
        <n v="15107"/>
        <n v="15166"/>
        <n v="15200"/>
        <n v="15205"/>
        <n v="15248"/>
        <n v="15383"/>
        <n v="15480"/>
        <n v="15484"/>
        <n v="15498"/>
        <n v="15506"/>
        <n v="15508"/>
        <n v="15528"/>
        <n v="15533"/>
        <n v="15537"/>
        <n v="15538"/>
        <n v="15551"/>
        <n v="15552"/>
        <n v="15570"/>
        <n v="15583"/>
        <n v="15585"/>
        <n v="15586"/>
        <n v="15594"/>
        <n v="15604"/>
        <n v="15605"/>
        <n v="15607"/>
        <n v="15611"/>
        <n v="15628"/>
        <n v="15646"/>
        <n v="15648"/>
        <n v="15657"/>
        <n v="15666"/>
        <n v="15667"/>
        <n v="15670"/>
        <n v="15702"/>
        <n v="15719"/>
        <n v="15721"/>
        <n v="15723"/>
        <n v="15729"/>
        <n v="15761"/>
        <n v="15763"/>
        <n v="15781"/>
        <n v="15785"/>
        <n v="15796"/>
        <n v="15803"/>
        <n v="15812"/>
        <n v="15822"/>
        <n v="15823"/>
        <n v="15849"/>
        <n v="15855"/>
        <n v="15856"/>
        <n v="15872"/>
        <n v="15875"/>
        <n v="15876"/>
        <n v="15911"/>
        <n v="15923"/>
        <n v="15925"/>
        <n v="15939"/>
        <n v="15951"/>
        <n v="15961"/>
        <n v="15964"/>
        <n v="15970"/>
        <n v="15974"/>
        <n v="15976"/>
        <n v="16000"/>
        <n v="16018"/>
        <n v="16028"/>
        <n v="16042"/>
        <n v="16054"/>
        <n v="16070"/>
        <n v="16086"/>
        <n v="16093"/>
        <n v="16099"/>
        <n v="16120"/>
        <n v="16158"/>
        <n v="16159"/>
        <n v="16174"/>
        <n v="16200"/>
        <n v="16202"/>
        <n v="16216"/>
        <n v="16228"/>
        <n v="16234"/>
        <n v="16243"/>
        <n v="16259"/>
        <n v="16275"/>
        <n v="16295"/>
        <n v="16296"/>
        <n v="16307"/>
        <n v="16315"/>
        <n v="16316"/>
        <n v="16323"/>
        <n v="16324"/>
        <n v="16337"/>
        <n v="16338"/>
        <n v="16344"/>
        <n v="16346"/>
        <n v="16353"/>
        <n v="16356"/>
        <n v="16382"/>
        <n v="16389"/>
        <n v="16401"/>
        <n v="16407"/>
        <n v="16423"/>
        <n v="16428"/>
        <n v="16431"/>
        <n v="16436"/>
        <n v="16440"/>
        <n v="16464"/>
        <n v="16476"/>
        <n v="16477"/>
        <n v="16478"/>
        <n v="16483"/>
        <n v="16485"/>
        <n v="16491"/>
        <n v="16512"/>
        <n v="16521"/>
        <n v="16526"/>
        <n v="16562"/>
        <n v="16571"/>
        <n v="16579"/>
        <n v="16615"/>
        <n v="16616"/>
        <n v="16629"/>
        <n v="16667"/>
        <n v="16673"/>
        <n v="16676"/>
        <n v="16681"/>
        <n v="16685"/>
        <n v="16721"/>
        <n v="16725"/>
        <n v="16729"/>
        <n v="16739"/>
        <n v="16768"/>
        <n v="16801"/>
        <n v="16808"/>
        <n v="16820"/>
        <n v="16826"/>
        <n v="16827"/>
        <n v="16844"/>
        <n v="16847"/>
        <n v="16858"/>
        <n v="16869"/>
        <n v="16878"/>
        <n v="16892"/>
        <n v="16893"/>
        <n v="16905"/>
        <n v="16917"/>
        <n v="16919"/>
        <n v="16920"/>
        <n v="16924"/>
        <n v="16982"/>
        <n v="17022"/>
        <n v="17025"/>
        <n v="17043"/>
        <n v="17055"/>
        <n v="17095"/>
        <n v="17103"/>
        <n v="17126"/>
        <n v="17127"/>
        <n v="17130"/>
        <n v="17159"/>
        <n v="17186"/>
        <n v="17213"/>
        <n v="17267"/>
        <n v="17274"/>
        <n v="17276"/>
        <n v="17318"/>
        <n v="17321"/>
        <n v="17361"/>
        <n v="17376"/>
        <n v="17399"/>
        <n v="17406"/>
        <n v="17415"/>
        <n v="17426"/>
        <n v="17465"/>
        <n v="17471"/>
        <n v="17473"/>
        <n v="17475"/>
        <n v="17476"/>
        <n v="17506"/>
        <n v="17524"/>
        <n v="17527"/>
        <n v="17539"/>
        <n v="17566"/>
        <n v="17590"/>
        <n v="17596"/>
        <n v="17606"/>
        <n v="17624"/>
        <n v="17683"/>
        <n v="17687"/>
        <n v="17713"/>
        <n v="17744"/>
        <n v="17750"/>
        <n v="17758"/>
        <n v="17783"/>
        <n v="17802"/>
        <n v="17817"/>
        <n v="17827"/>
        <n v="17833"/>
        <n v="17878"/>
        <n v="17884"/>
        <n v="17886"/>
        <n v="17893"/>
        <n v="17911"/>
        <n v="17931"/>
        <n v="17943"/>
        <n v="17949"/>
        <n v="17950"/>
        <n v="17977"/>
        <n v="17994"/>
        <n v="17996"/>
        <n v="17998"/>
      </sharedItems>
    </cacheField>
    <cacheField name="Discount %" numFmtId="0">
      <sharedItems containsSemiMixedTypes="0" containsString="0" containsNumber="1" containsInteger="1" minValue="0" maxValue="15" count="4">
        <n v="0"/>
        <n v="5"/>
        <n v="10"/>
        <n v="15"/>
      </sharedItems>
    </cacheField>
    <cacheField name="Sales" numFmtId="0">
      <sharedItems containsSemiMixedTypes="0" containsString="0" containsNumber="1" minValue="1063" maxValue="84390" count="500">
        <n v="1063"/>
        <n v="1201.75"/>
        <n v="1337.6"/>
        <n v="1429.75"/>
        <n v="1670.1"/>
        <n v="1953.9"/>
        <n v="2288.5500000000002"/>
        <n v="2430"/>
        <n v="2525.4"/>
        <n v="2552"/>
        <n v="2572.6"/>
        <n v="2595.4"/>
        <n v="2698"/>
        <n v="3399.3"/>
        <n v="3683.7"/>
        <n v="3703"/>
        <n v="3936"/>
        <n v="4099"/>
        <n v="4791.8"/>
        <n v="5971.25"/>
        <n v="5979.75"/>
        <n v="6074"/>
        <n v="6454.8"/>
        <n v="6461.7"/>
        <n v="6652.8"/>
        <n v="6658.55"/>
        <n v="6661.8"/>
        <n v="6668.1"/>
        <n v="6672.8"/>
        <n v="6675.65"/>
        <n v="6690"/>
        <n v="6723.5"/>
        <n v="6772.5"/>
        <n v="6845.05"/>
        <n v="6854.25"/>
        <n v="7031.7"/>
        <n v="7055"/>
        <n v="7072.2"/>
        <n v="7099.35"/>
        <n v="7161.1"/>
        <n v="7276.05"/>
        <n v="7281"/>
        <n v="7292.2"/>
        <n v="7313.1"/>
        <n v="7348.25"/>
        <n v="7350"/>
        <n v="7369.15"/>
        <n v="7417.1"/>
        <n v="7420.5"/>
        <n v="7441.2"/>
        <n v="7499"/>
        <n v="7537"/>
        <n v="7611.3"/>
        <n v="7621.85"/>
        <n v="7737"/>
        <n v="7754.55"/>
        <n v="7767"/>
        <n v="7810"/>
        <n v="7850.7"/>
        <n v="7854"/>
        <n v="7873.2"/>
        <n v="7932"/>
        <n v="8040.6"/>
        <n v="8068.5"/>
        <n v="8095"/>
        <n v="8113.95"/>
        <n v="8171"/>
        <n v="8190"/>
        <n v="8206.1"/>
        <n v="8285.9"/>
        <n v="8289"/>
        <n v="8409.6"/>
        <n v="8631"/>
        <n v="8665"/>
        <n v="8957.7000000000007"/>
        <n v="8974"/>
        <n v="8983"/>
        <n v="9039"/>
        <n v="9046.85"/>
        <n v="9150.2999999999993"/>
        <n v="9284"/>
        <n v="9322"/>
        <n v="9370"/>
        <n v="9405"/>
        <n v="9569"/>
        <n v="9637.75"/>
        <n v="9639.65"/>
        <n v="9731.7999999999993"/>
        <n v="9795.4"/>
        <n v="10125.1"/>
        <n v="10197.299999999999"/>
        <n v="10496.55"/>
        <n v="10500.35"/>
        <n v="10764.45"/>
        <n v="10960.15"/>
        <n v="10978"/>
        <n v="11226"/>
        <n v="11264"/>
        <n v="11410"/>
        <n v="11767.65"/>
        <n v="11769"/>
        <n v="11785"/>
        <n v="11997"/>
        <n v="12058"/>
        <n v="12219.6"/>
        <n v="12257"/>
        <n v="12264"/>
        <n v="12285"/>
        <n v="12489.65"/>
        <n v="12618.25"/>
        <n v="12778.9"/>
        <n v="12946.6"/>
        <n v="13073"/>
        <n v="13176"/>
        <n v="13186"/>
        <n v="13201.2"/>
        <n v="13258.8"/>
        <n v="13273.2"/>
        <n v="13339.9"/>
        <n v="13398.55"/>
        <n v="13455.8"/>
        <n v="13496.4"/>
        <n v="13674.3"/>
        <n v="13786.2"/>
        <n v="13833.75"/>
        <n v="13935.6"/>
        <n v="13968.8"/>
        <n v="13983.3"/>
        <n v="13996.1"/>
        <n v="14011.2"/>
        <n v="14018.4"/>
        <n v="14054"/>
        <n v="14072.35"/>
        <n v="14091.3"/>
        <n v="14124.6"/>
        <n v="14152.15"/>
        <n v="14173.05"/>
        <n v="14202.9"/>
        <n v="14205.35"/>
        <n v="14216.4"/>
        <n v="14230.8"/>
        <n v="14231"/>
        <n v="14286.1"/>
        <n v="14333.6"/>
        <n v="14347.8"/>
        <n v="14404"/>
        <n v="14425.2"/>
        <n v="14428.8"/>
        <n v="14493.2"/>
        <n v="14516"/>
        <n v="14544.5"/>
        <n v="14546"/>
        <n v="14676.3"/>
        <n v="14681"/>
        <n v="14685"/>
        <n v="14723.1"/>
        <n v="14769.6"/>
        <n v="14785.2"/>
        <n v="14787.9"/>
        <n v="14791.5"/>
        <n v="14804"/>
        <n v="14806.7"/>
        <n v="14834.7"/>
        <n v="14846.6"/>
        <n v="14854.6"/>
        <n v="14859"/>
        <n v="14862"/>
        <n v="14878.4"/>
        <n v="14922"/>
        <n v="14941.8"/>
        <n v="14995.75"/>
        <n v="15056.55"/>
        <n v="15081.25"/>
        <n v="15082.4"/>
        <n v="15098"/>
        <n v="15127.2"/>
        <n v="15154.2"/>
        <n v="15162.95"/>
        <n v="15166"/>
        <n v="15177.2"/>
        <n v="15182.1"/>
        <n v="15203.7"/>
        <n v="15205"/>
        <n v="15247.8"/>
        <n v="15314"/>
        <n v="15334.9"/>
        <n v="15350.1"/>
        <n v="15365.3"/>
        <n v="15392"/>
        <n v="15405.2"/>
        <n v="15430.85"/>
        <n v="15480"/>
        <n v="15481.2"/>
        <n v="15491.7"/>
        <n v="15502.3"/>
        <n v="15507.8"/>
        <n v="15521.1"/>
        <n v="15528.7"/>
        <n v="15538"/>
        <n v="15551"/>
        <n v="15553.4"/>
        <n v="15570.5"/>
        <n v="15576"/>
        <n v="15580.95"/>
        <n v="15585"/>
        <n v="15605"/>
        <n v="15614.2"/>
        <n v="15658.85"/>
        <n v="15668"/>
        <n v="15674.4"/>
        <n v="15709.2"/>
        <n v="15751.8"/>
        <n v="15775.2"/>
        <n v="15785.2"/>
        <n v="15813.4"/>
        <n v="15842.2"/>
        <n v="15844"/>
        <n v="15856"/>
        <n v="15872"/>
        <n v="15888.75"/>
        <n v="15911"/>
        <n v="16000"/>
        <n v="16021.8"/>
        <n v="16044.3"/>
        <n v="16054"/>
        <n v="16083"/>
        <n v="16086"/>
        <n v="16119.9"/>
        <n v="16170.9"/>
        <n v="16202"/>
        <n v="16228"/>
        <n v="16316"/>
        <n v="16344"/>
        <n v="16389"/>
        <n v="16406.5"/>
        <n v="16412.2"/>
        <n v="16478"/>
        <n v="16492.95"/>
        <n v="16500"/>
        <n v="16616"/>
        <n v="16630.7"/>
        <n v="16827.349999999999"/>
        <n v="16849.2"/>
        <n v="16870.099999999999"/>
        <n v="16944"/>
        <n v="16965.099999999999"/>
        <n v="16989.8"/>
        <n v="16991.7"/>
        <n v="17043"/>
        <n v="17066.3"/>
        <n v="17094.3"/>
        <n v="17127"/>
        <n v="17216"/>
        <n v="17246"/>
        <n v="17369.8"/>
        <n v="17420"/>
        <n v="17425.8"/>
        <n v="17480"/>
        <n v="17596"/>
        <n v="17706"/>
        <n v="17734"/>
        <n v="17783"/>
        <n v="17833"/>
        <n v="17943"/>
        <n v="17950"/>
        <n v="17956"/>
        <n v="18116"/>
        <n v="18126"/>
        <n v="18416.7"/>
        <n v="19520.599999999999"/>
        <n v="19969.900000000001"/>
        <n v="19972.8"/>
        <n v="20231.2"/>
        <n v="20493"/>
        <n v="20600"/>
        <n v="20725.2"/>
        <n v="20763"/>
        <n v="20778.400000000001"/>
        <n v="20856"/>
        <n v="20936.099999999999"/>
        <n v="20958.900000000001"/>
        <n v="20964.599999999999"/>
        <n v="21007.8"/>
        <n v="21223"/>
        <n v="21480"/>
        <n v="22037.1"/>
        <n v="22180.5"/>
        <n v="22240.799999999999"/>
        <n v="22357.3"/>
        <n v="22697.4"/>
        <n v="22711.65"/>
        <n v="22946"/>
        <n v="23010.9"/>
        <n v="23358"/>
        <n v="23456"/>
        <n v="23708"/>
        <n v="23965.200000000001"/>
        <n v="24054.15"/>
        <n v="24127.200000000001"/>
        <n v="24198"/>
        <n v="24206"/>
        <n v="24239.25"/>
        <n v="24642"/>
        <n v="24823.5"/>
        <n v="25134.15"/>
        <n v="25196.400000000001"/>
        <n v="25621.5"/>
        <n v="25681.35"/>
        <n v="25733.599999999999"/>
        <n v="26046"/>
        <n v="26082"/>
        <n v="26406.1"/>
        <n v="26526.799999999999"/>
        <n v="26600.400000000001"/>
        <n v="26633.9"/>
        <n v="26652.6"/>
        <n v="26770"/>
        <n v="27032.400000000001"/>
        <n v="27069.1"/>
        <n v="27149"/>
        <n v="27470.3"/>
        <n v="27645"/>
        <n v="27950.400000000001"/>
        <n v="28018.799999999999"/>
        <n v="28166.400000000001"/>
        <n v="28206"/>
        <n v="28312.2"/>
        <n v="28665"/>
        <n v="28691.9"/>
        <n v="28703.3"/>
        <n v="28875.599999999999"/>
        <n v="28880"/>
        <n v="28971.200000000001"/>
        <n v="28993.5"/>
        <n v="29121"/>
        <n v="29590.2"/>
        <n v="29592"/>
        <n v="29727.4"/>
        <n v="29765.4"/>
        <n v="29795.9"/>
        <n v="29816.3"/>
        <n v="29866.1"/>
        <n v="29873.7"/>
        <n v="29932.2"/>
        <n v="29987.7"/>
        <n v="30025.7"/>
        <n v="30033"/>
        <n v="30130.2"/>
        <n v="30164.400000000001"/>
        <n v="30276"/>
        <n v="30288.9"/>
        <n v="30331.599999999999"/>
        <n v="30350.6"/>
        <n v="30376.799999999999"/>
        <n v="30405.599999999999"/>
        <n v="30454.2"/>
        <n v="30533"/>
        <n v="30785.4"/>
        <n v="30825.599999999999"/>
        <n v="30844.6"/>
        <n v="30911.1"/>
        <n v="31012"/>
        <n v="31040.3"/>
        <n v="31070.7"/>
        <n v="31076.400000000001"/>
        <n v="31172"/>
        <n v="31172.400000000001"/>
        <n v="31188"/>
        <n v="31208"/>
        <n v="31222"/>
        <n v="31485.599999999999"/>
        <n v="31618.799999999999"/>
        <n v="31654.95"/>
        <n v="31783.200000000001"/>
        <n v="32155.599999999999"/>
        <n v="32198"/>
        <n v="32265.8"/>
        <n v="32275.8"/>
        <n v="32347.5"/>
        <n v="32392.799999999999"/>
        <n v="32396.400000000001"/>
        <n v="32539.4"/>
        <n v="32555"/>
        <n v="32602.1"/>
        <n v="32653.4"/>
        <n v="32954"/>
        <n v="33042"/>
        <n v="33109.4"/>
        <n v="33124"/>
        <n v="33362"/>
        <n v="33605.300000000003"/>
        <n v="33688"/>
        <n v="33725"/>
        <n v="33818.1"/>
        <n v="33885"/>
        <n v="33996.699999999997"/>
        <n v="34156.300000000003"/>
        <n v="34345.35"/>
        <n v="34642"/>
        <n v="34752"/>
        <n v="34870.5"/>
        <n v="34891.599999999999"/>
        <n v="34930"/>
        <n v="34942"/>
        <n v="35212"/>
        <n v="35756"/>
        <n v="36004.5"/>
        <n v="36266.25"/>
        <n v="37260.6"/>
        <n v="37543.5"/>
        <n v="37593"/>
        <n v="37723.5"/>
        <n v="38150"/>
        <n v="39048"/>
        <n v="39070"/>
        <n v="39080"/>
        <n v="39657.599999999999"/>
        <n v="40035.599999999999"/>
        <n v="40040.1"/>
        <n v="40190.550000000003"/>
        <n v="40223"/>
        <n v="40270.5"/>
        <n v="41037.15"/>
        <n v="41045"/>
        <n v="41088"/>
        <n v="41089.5"/>
        <n v="41822.550000000003"/>
        <n v="42368.25"/>
        <n v="42480"/>
        <n v="43047"/>
        <n v="43485"/>
        <n v="43964"/>
        <n v="44154"/>
        <n v="44582.400000000001"/>
        <n v="44741.7"/>
        <n v="44881.8"/>
        <n v="45329.25"/>
        <n v="45515"/>
        <n v="46104"/>
        <n v="46440.75"/>
        <n v="46922.400000000001"/>
        <n v="47518.05"/>
        <n v="47654.85"/>
        <n v="48568.75"/>
        <n v="48720.75"/>
        <n v="49210.95"/>
        <n v="49428"/>
        <n v="50164.75"/>
        <n v="50228.4"/>
        <n v="50478"/>
        <n v="50541"/>
        <n v="52419"/>
        <n v="54120"/>
        <n v="56185.2"/>
        <n v="56491"/>
        <n v="56962.8"/>
        <n v="57664.800000000003"/>
        <n v="58377.599999999999"/>
        <n v="58532.4"/>
        <n v="58952"/>
        <n v="59739.8"/>
        <n v="59787"/>
        <n v="60123.6"/>
        <n v="60483.6"/>
        <n v="62407.4"/>
        <n v="62636.4"/>
        <n v="63718.400000000001"/>
        <n v="63724.5"/>
        <n v="64239"/>
        <n v="64616.4"/>
        <n v="64800"/>
        <n v="65260"/>
        <n v="65628"/>
        <n v="65641.2"/>
        <n v="66227.75"/>
        <n v="66405"/>
        <n v="66916"/>
        <n v="67668"/>
        <n v="69223.5"/>
        <n v="69660"/>
        <n v="69685"/>
        <n v="70061.25"/>
        <n v="71514.75"/>
        <n v="73663"/>
        <n v="73719"/>
        <n v="75311.25"/>
        <n v="75710.25"/>
        <n v="76133"/>
        <n v="78498.5"/>
        <n v="78750.25"/>
        <n v="79755"/>
        <n v="80075.5"/>
        <n v="80370"/>
        <n v="81615"/>
        <n v="82455"/>
        <n v="83239"/>
        <n v="83335"/>
        <n v="83552.5"/>
        <n v="83994.25"/>
        <n v="84390"/>
      </sharedItems>
    </cacheField>
    <cacheField name="Cost" numFmtId="0">
      <sharedItems containsSemiMixedTypes="0" containsString="0" containsNumber="1" minValue="692.34" maxValue="68431.460000000006" count="500">
        <n v="692.34"/>
        <n v="768.74"/>
        <n v="799.29"/>
        <n v="955.29"/>
        <n v="1031.56"/>
        <n v="1305.5999999999999"/>
        <n v="1442.17"/>
        <n v="1538.65"/>
        <n v="1654.87"/>
        <n v="1717.85"/>
        <n v="1816.51"/>
        <n v="1853.2"/>
        <n v="1937.67"/>
        <n v="2572.4299999999998"/>
        <n v="2623.99"/>
        <n v="2738.7"/>
        <n v="2795.53"/>
        <n v="2941.8"/>
        <n v="3598.77"/>
        <n v="3967.72"/>
        <n v="4392.68"/>
        <n v="4730.21"/>
        <n v="4845.2"/>
        <n v="4902.74"/>
        <n v="5028.7299999999996"/>
        <n v="5045.57"/>
        <n v="5210.03"/>
        <n v="5219.12"/>
        <n v="5227.08"/>
        <n v="5297.39"/>
        <n v="5321.62"/>
        <n v="5422.73"/>
        <n v="5443.36"/>
        <n v="5467.94"/>
        <n v="5482.92"/>
        <n v="5561.21"/>
        <n v="5596.08"/>
        <n v="5606.38"/>
        <n v="5668.36"/>
        <n v="5709.6"/>
        <n v="5725.07"/>
        <n v="5778.98"/>
        <n v="5793.15"/>
        <n v="5833.84"/>
        <n v="5933.85"/>
        <n v="5941.05"/>
        <n v="5941.88"/>
        <n v="5947.31"/>
        <n v="5972.96"/>
        <n v="5975.68"/>
        <n v="5999.3"/>
        <n v="6025.62"/>
        <n v="6099.41"/>
        <n v="6109.89"/>
        <n v="6141.01"/>
        <n v="6215.62"/>
        <n v="6317.87"/>
        <n v="6324.25"/>
        <n v="6359.56"/>
        <n v="6381.43"/>
        <n v="6389.82"/>
        <n v="6434.46"/>
        <n v="6445.85"/>
        <n v="6453.04"/>
        <n v="6455.12"/>
        <n v="6457.89"/>
        <n v="6525.99"/>
        <n v="6598.65"/>
        <n v="6670.91"/>
        <n v="6685.38"/>
        <n v="6738.99"/>
        <n v="6821.75"/>
        <n v="6831.51"/>
        <n v="6987.96"/>
        <n v="7057.77"/>
        <n v="7092.65"/>
        <n v="7160.4"/>
        <n v="7189.96"/>
        <n v="7218.35"/>
        <n v="7279.88"/>
        <n v="7291.77"/>
        <n v="7482.9"/>
        <n v="7514.49"/>
        <n v="7534.91"/>
        <n v="7561.74"/>
        <n v="7590.06"/>
        <n v="7683.2"/>
        <n v="7732.23"/>
        <n v="7947.42"/>
        <n v="8091.43"/>
        <n v="8137.72"/>
        <n v="8365.0300000000007"/>
        <n v="8524.6"/>
        <n v="8593.08"/>
        <n v="8856.85"/>
        <n v="8895.2999999999993"/>
        <n v="8899.83"/>
        <n v="8926.09"/>
        <n v="9017.26"/>
        <n v="9325.65"/>
        <n v="9417.9"/>
        <n v="9483.44"/>
        <n v="9491"/>
        <n v="9516.52"/>
        <n v="9597.18"/>
        <n v="9626.2999999999993"/>
        <n v="9673.5300000000007"/>
        <n v="9819.5499999999993"/>
        <n v="9904.2099999999991"/>
        <n v="10058.549999999999"/>
        <n v="10091.209999999999"/>
        <n v="10196.91"/>
        <n v="10330.02"/>
        <n v="10430.36"/>
        <n v="10485.030000000001"/>
        <n v="10517.43"/>
        <n v="10565.24"/>
        <n v="10646.63"/>
        <n v="10650.61"/>
        <n v="10659.38"/>
        <n v="10695.19"/>
        <n v="10709.46"/>
        <n v="10793.26"/>
        <n v="11012.66"/>
        <n v="11027.17"/>
        <n v="11029.35"/>
        <n v="11034.25"/>
        <n v="11097.66"/>
        <n v="11101.33"/>
        <n v="11133.15"/>
        <n v="11152.51"/>
        <n v="11177.06"/>
        <n v="11183.2"/>
        <n v="11230.44"/>
        <n v="11261.54"/>
        <n v="11265.49"/>
        <n v="11284.36"/>
        <n v="11310.59"/>
        <n v="11311.85"/>
        <n v="11331.01"/>
        <n v="11419.11"/>
        <n v="11471.76"/>
        <n v="11492.51"/>
        <n v="11500.34"/>
        <n v="11510.59"/>
        <n v="11530.83"/>
        <n v="11545.19"/>
        <n v="11552.13"/>
        <n v="11562.54"/>
        <n v="11569.08"/>
        <n v="11580.27"/>
        <n v="11595.87"/>
        <n v="11602.73"/>
        <n v="11603.66"/>
        <n v="11609.77"/>
        <n v="11612.63"/>
        <n v="11621.95"/>
        <n v="11631.12"/>
        <n v="11647.33"/>
        <n v="11651.76"/>
        <n v="11746.82"/>
        <n v="11778.56"/>
        <n v="11790.28"/>
        <n v="11843.59"/>
        <n v="11863.29"/>
        <n v="11879.34"/>
        <n v="11908.9"/>
        <n v="11910.07"/>
        <n v="11985.53"/>
        <n v="11992.3"/>
        <n v="11994.87"/>
        <n v="12017.54"/>
        <n v="12017.8"/>
        <n v="12065.55"/>
        <n v="12093.88"/>
        <n v="12133.01"/>
        <n v="12143.36"/>
        <n v="12154.76"/>
        <n v="12163.6"/>
        <n v="12191.95"/>
        <n v="12200.3"/>
        <n v="12211.78"/>
        <n v="12213.78"/>
        <n v="12236.02"/>
        <n v="12269.85"/>
        <n v="12300.85"/>
        <n v="12324.66"/>
        <n v="12333.85"/>
        <n v="12334.86"/>
        <n v="12336.19"/>
        <n v="12341.63"/>
        <n v="12345.08"/>
        <n v="12347.04"/>
        <n v="12350.09"/>
        <n v="12375.07"/>
        <n v="12394.42"/>
        <n v="12402.39"/>
        <n v="12436.9"/>
        <n v="12457.39"/>
        <n v="12468.34"/>
        <n v="12490.13"/>
        <n v="12493.81"/>
        <n v="12506.75"/>
        <n v="12508.74"/>
        <n v="12531.86"/>
        <n v="12540.29"/>
        <n v="12545.01"/>
        <n v="12554.68"/>
        <n v="12556.89"/>
        <n v="12567.62"/>
        <n v="12574.94"/>
        <n v="12600.44"/>
        <n v="12613.18"/>
        <n v="12625.76"/>
        <n v="12654.1"/>
        <n v="12657.68"/>
        <n v="12660.34"/>
        <n v="12663.34"/>
        <n v="12705.51"/>
        <n v="12741"/>
        <n v="12750.35"/>
        <n v="12766.22"/>
        <n v="12822.46"/>
        <n v="12832.4"/>
        <n v="12866.02"/>
        <n v="12888.75"/>
        <n v="12900.34"/>
        <n v="12929.61"/>
        <n v="12993.79"/>
        <n v="13021.21"/>
        <n v="13023.94"/>
        <n v="13033.37"/>
        <n v="13056.08"/>
        <n v="13127.46"/>
        <n v="13160.48"/>
        <n v="13173.98"/>
        <n v="13235.87"/>
        <n v="13264.01"/>
        <n v="13270.45"/>
        <n v="13270.58"/>
        <n v="13346.32"/>
        <n v="13347.71"/>
        <n v="13354.61"/>
        <n v="13424.35"/>
        <n v="13446.2"/>
        <n v="13465.48"/>
        <n v="13533.53"/>
        <n v="13629.22"/>
        <n v="13629.76"/>
        <n v="13697.6"/>
        <n v="13703.82"/>
        <n v="13708.61"/>
        <n v="13719.31"/>
        <n v="13748.35"/>
        <n v="13785.32"/>
        <n v="13790.13"/>
        <n v="13824.17"/>
        <n v="13837.51"/>
        <n v="13844.24"/>
        <n v="13958.32"/>
        <n v="14009.62"/>
        <n v="14274.37"/>
        <n v="14297.53"/>
        <n v="14303.4"/>
        <n v="14349.13"/>
        <n v="14355.28"/>
        <n v="14563.33"/>
        <n v="14632.55"/>
        <n v="14895.27"/>
        <n v="15802"/>
        <n v="15909.73"/>
        <n v="16045.95"/>
        <n v="16132.93"/>
        <n v="16230.5"/>
        <n v="16365.14"/>
        <n v="16380.8"/>
        <n v="16552.57"/>
        <n v="16566.71"/>
        <n v="16642.3"/>
        <n v="16693.87"/>
        <n v="16899.79"/>
        <n v="16960.36"/>
        <n v="16987.669999999998"/>
        <n v="17251.169999999998"/>
        <n v="17480.59"/>
        <n v="17603.349999999999"/>
        <n v="17650.71"/>
        <n v="17973.310000000001"/>
        <n v="18022.080000000002"/>
        <n v="18124.61"/>
        <n v="18153.86"/>
        <n v="18220.16"/>
        <n v="18373"/>
        <n v="18576.97"/>
        <n v="18596.16"/>
        <n v="18863.16"/>
        <n v="18929.099999999999"/>
        <n v="18938.599999999999"/>
        <n v="18954.580000000002"/>
        <n v="18958.87"/>
        <n v="19019.7"/>
        <n v="19657.32"/>
        <n v="19778.91"/>
        <n v="19779.93"/>
        <n v="19950.02"/>
        <n v="20055.64"/>
        <n v="20493.900000000001"/>
        <n v="20608.849999999999"/>
        <n v="20833.32"/>
        <n v="20839.96"/>
        <n v="20862.72"/>
        <n v="20925.68"/>
        <n v="20994.26"/>
        <n v="21194.25"/>
        <n v="21307.62"/>
        <n v="21423.38"/>
        <n v="21495.119999999999"/>
        <n v="21549.58"/>
        <n v="21653.87"/>
        <n v="22011.07"/>
        <n v="22015.17"/>
        <n v="22104.41"/>
        <n v="22427.66"/>
        <n v="22462.97"/>
        <n v="22515.08"/>
        <n v="22649.68"/>
        <n v="22656.54"/>
        <n v="22810.44"/>
        <n v="22879.85"/>
        <n v="22930.21"/>
        <n v="22975.77"/>
        <n v="23110.639999999999"/>
        <n v="23111.77"/>
        <n v="23335.45"/>
        <n v="23435.87"/>
        <n v="23445.51"/>
        <n v="23460.1"/>
        <n v="23496.73"/>
        <n v="23565.65"/>
        <n v="23647.83"/>
        <n v="23691.06"/>
        <n v="23694.86"/>
        <n v="23768.51"/>
        <n v="23827.360000000001"/>
        <n v="23832.63"/>
        <n v="23858.48"/>
        <n v="23872.44"/>
        <n v="23963.43"/>
        <n v="23978.28"/>
        <n v="23984.3"/>
        <n v="24029.47"/>
        <n v="24108.58"/>
        <n v="24149.06"/>
        <n v="24215.51"/>
        <n v="24264.42"/>
        <n v="24270"/>
        <n v="24499.69"/>
        <n v="24512.49"/>
        <n v="24663.87"/>
        <n v="24710.07"/>
        <n v="24770.17"/>
        <n v="24830.2"/>
        <n v="24932.36"/>
        <n v="25089.56"/>
        <n v="25094.58"/>
        <n v="25121.31"/>
        <n v="25130.89"/>
        <n v="25207.25"/>
        <n v="25240.01"/>
        <n v="25243.759999999998"/>
        <n v="25265.4"/>
        <n v="25283.48"/>
        <n v="25299.7"/>
        <n v="25314.01"/>
        <n v="25399.61"/>
        <n v="25412.33"/>
        <n v="25527.48"/>
        <n v="25654.68"/>
        <n v="25733.58"/>
        <n v="25788.29"/>
        <n v="25828.59"/>
        <n v="25907.919999999998"/>
        <n v="26069.599999999999"/>
        <n v="26088.54"/>
        <n v="26268.02"/>
        <n v="26299.97"/>
        <n v="26334.09"/>
        <n v="26462.53"/>
        <n v="26465.66"/>
        <n v="26733.79"/>
        <n v="26763.22"/>
        <n v="26907.81"/>
        <n v="26966.06"/>
        <n v="26997.34"/>
        <n v="27012.04"/>
        <n v="27026.97"/>
        <n v="27101.47"/>
        <n v="27595.99"/>
        <n v="27626.13"/>
        <n v="27862.94"/>
        <n v="27916.080000000002"/>
        <n v="27971.55"/>
        <n v="28005.43"/>
        <n v="28057.49"/>
        <n v="28439.9"/>
        <n v="28871.71"/>
        <n v="29196.880000000001"/>
        <n v="29319.72"/>
        <n v="29674.58"/>
        <n v="29830.95"/>
        <n v="29968.87"/>
        <n v="30018.32"/>
        <n v="30703.86"/>
        <n v="30768.25"/>
        <n v="31318.16"/>
        <n v="31544.9"/>
        <n v="31659.919999999998"/>
        <n v="31713.43"/>
        <n v="31815.77"/>
        <n v="31884.32"/>
        <n v="31906.44"/>
        <n v="32076.13"/>
        <n v="32418.99"/>
        <n v="32631.5"/>
        <n v="32905.379999999997"/>
        <n v="32959.629999999997"/>
        <n v="33795.17"/>
        <n v="33900.65"/>
        <n v="34076.92"/>
        <n v="34184.19"/>
        <n v="34952.06"/>
        <n v="35015.54"/>
        <n v="35162.629999999997"/>
        <n v="35237.26"/>
        <n v="35430.839999999997"/>
        <n v="35470.76"/>
        <n v="36459.089999999997"/>
        <n v="36603.5"/>
        <n v="36690.03"/>
        <n v="37012.839999999997"/>
        <n v="37855.67"/>
        <n v="38032.78"/>
        <n v="38061.019999999997"/>
        <n v="38403.26"/>
        <n v="38519.129999999997"/>
        <n v="38995.67"/>
        <n v="39450.050000000003"/>
        <n v="39824.550000000003"/>
        <n v="40541.760000000002"/>
        <n v="40699.160000000003"/>
        <n v="40808.620000000003"/>
        <n v="42217.36"/>
        <n v="42741.15"/>
        <n v="44945.99"/>
        <n v="45133.64"/>
        <n v="45738.16"/>
        <n v="45758.79"/>
        <n v="46010.91"/>
        <n v="46666.09"/>
        <n v="46962.94"/>
        <n v="47258.92"/>
        <n v="47348.87"/>
        <n v="47579.63"/>
        <n v="47721.4"/>
        <n v="48912.71"/>
        <n v="49089.87"/>
        <n v="50131.88"/>
        <n v="50499.24"/>
        <n v="51271.85"/>
        <n v="51928.89"/>
        <n v="52190.97"/>
        <n v="52192.81"/>
        <n v="52447.28"/>
        <n v="52695.77"/>
        <n v="52850.01"/>
        <n v="53250.03"/>
        <n v="53425"/>
        <n v="54088.38"/>
        <n v="55853.69"/>
        <n v="56330.23"/>
        <n v="56927.68"/>
        <n v="56986.95"/>
        <n v="57654.38"/>
        <n v="58527.91"/>
        <n v="58937.58"/>
        <n v="59987.519999999997"/>
        <n v="61085.5"/>
        <n v="61735.99"/>
        <n v="62065.88"/>
        <n v="62901.49"/>
        <n v="63894.67"/>
        <n v="63945.16"/>
        <n v="65718.05"/>
        <n v="65739.839999999997"/>
        <n v="66483.67"/>
        <n v="66609.33"/>
        <n v="66806.080000000002"/>
        <n v="67038.77"/>
        <n v="67990.23"/>
        <n v="68431.460000000006"/>
      </sharedItems>
    </cacheField>
    <cacheField name="Profit" numFmtId="0">
      <sharedItems containsSemiMixedTypes="0" containsString="0" containsNumber="1" minValue="370.66" maxValue="18276.2" count="500">
        <n v="370.66"/>
        <n v="433.01"/>
        <n v="474.46"/>
        <n v="538.30999999999995"/>
        <n v="634.92999999999995"/>
        <n v="638.54"/>
        <n v="648.29999999999995"/>
        <n v="672.2"/>
        <n v="735.49"/>
        <n v="826.87"/>
        <n v="846.38"/>
        <n v="877.55"/>
        <n v="891.35"/>
        <n v="945"/>
        <n v="1043.1300000000001"/>
        <n v="1079.01"/>
        <n v="1126.05"/>
        <n v="1140.47"/>
        <n v="1157.2"/>
        <n v="1193.03"/>
        <n v="1240.58"/>
        <n v="1249.54"/>
        <n v="1251.67"/>
        <n v="1252.92"/>
        <n v="1258.17"/>
        <n v="1322.1"/>
        <n v="1329.14"/>
        <n v="1340.18"/>
        <n v="1344.89"/>
        <n v="1347.15"/>
        <n v="1355.41"/>
        <n v="1372.05"/>
        <n v="1374.28"/>
        <n v="1377.11"/>
        <n v="1394.88"/>
        <n v="1396.19"/>
        <n v="1399.59"/>
        <n v="1403.84"/>
        <n v="1407.44"/>
        <n v="1409.23"/>
        <n v="1419.13"/>
        <n v="1427.35"/>
        <n v="1430.3"/>
        <n v="1439.43"/>
        <n v="1441.02"/>
        <n v="1448.62"/>
        <n v="1465.52"/>
        <n v="1472.57"/>
        <n v="1480.84"/>
        <n v="1482.9"/>
        <n v="1497.54"/>
        <n v="1514.61"/>
        <n v="1515.3"/>
        <n v="1535.19"/>
        <n v="1546.91"/>
        <n v="1569.27"/>
        <n v="1583.26"/>
        <n v="1587.85"/>
        <n v="1595.12"/>
        <n v="1603.62"/>
        <n v="1612"/>
        <n v="1615.46"/>
        <n v="1635.08"/>
        <n v="1637.11"/>
        <n v="1643.04"/>
        <n v="1667.4"/>
        <n v="1681.32"/>
        <n v="1700.11"/>
        <n v="1734.88"/>
        <n v="1781.18"/>
        <n v="1787.26"/>
        <n v="1788.79"/>
        <n v="1793.04"/>
        <n v="1808.26"/>
        <n v="1813.6"/>
        <n v="1814.94"/>
        <n v="1828.5"/>
        <n v="1833.49"/>
        <n v="1847.98"/>
        <n v="1865.05"/>
        <n v="1903.47"/>
        <n v="1954.55"/>
        <n v="1981.23"/>
        <n v="1987.38"/>
        <n v="1999.57"/>
        <n v="2004.12"/>
        <n v="2030.23"/>
        <n v="2054.5100000000002"/>
        <n v="2060.3200000000002"/>
        <n v="2084.35"/>
        <n v="2104.7399999999998"/>
        <n v="2105.87"/>
        <n v="2121.15"/>
        <n v="2132.37"/>
        <n v="2135.3200000000002"/>
        <n v="2141.35"/>
        <n v="2239.85"/>
        <n v="2246.7399999999998"/>
        <n v="2252.48"/>
        <n v="2294"/>
        <n v="2315.39"/>
        <n v="2330.6999999999998"/>
        <n v="2421.34"/>
        <n v="2422.39"/>
        <n v="2431.1"/>
        <n v="2469.23"/>
        <n v="2491.1"/>
        <n v="2506.0100000000002"/>
        <n v="2539.37"/>
        <n v="2539.44"/>
        <n v="2574.56"/>
        <n v="2579.1"/>
        <n v="2590.4699999999998"/>
        <n v="2600.98"/>
        <n v="2613.86"/>
        <n v="2616.58"/>
        <n v="2634.89"/>
        <n v="2634.93"/>
        <n v="2651.81"/>
        <n v="2656.69"/>
        <n v="2674.52"/>
        <n v="2687.69"/>
        <n v="2687.82"/>
        <n v="2693.56"/>
        <n v="2697.62"/>
        <n v="2705.08"/>
        <n v="2739.17"/>
        <n v="2740.91"/>
        <n v="2741.34"/>
        <n v="2746.34"/>
        <n v="2755.72"/>
        <n v="2756.86"/>
        <n v="2764.52"/>
        <n v="2765.66"/>
        <n v="2788.99"/>
        <n v="2797.15"/>
        <n v="2797.68"/>
        <n v="2812.85"/>
        <n v="2822.47"/>
        <n v="2835.06"/>
        <n v="2842.84"/>
        <n v="2846.38"/>
        <n v="2859.11"/>
        <n v="2861.2"/>
        <n v="2879"/>
        <n v="2879.04"/>
        <n v="2893.1"/>
        <n v="2895.34"/>
        <n v="2895.72"/>
        <n v="2901.87"/>
        <n v="2906.25"/>
        <n v="2906.31"/>
        <n v="2924"/>
        <n v="2932.69"/>
        <n v="2934.55"/>
        <n v="2937.89"/>
        <n v="2938.79"/>
        <n v="2942.42"/>
        <n v="2955.66"/>
        <n v="2958.54"/>
        <n v="2959.14"/>
        <n v="2963.99"/>
        <n v="2970.64"/>
        <n v="2973.25"/>
        <n v="2980.15"/>
        <n v="2981"/>
        <n v="2981.11"/>
        <n v="2992.94"/>
        <n v="2996.84"/>
        <n v="3003.45"/>
        <n v="3005.41"/>
        <n v="3006.01"/>
        <n v="3008.47"/>
        <n v="3010.42"/>
        <n v="3010.8"/>
        <n v="3023.81"/>
        <n v="3024.54"/>
        <n v="3037.22"/>
        <n v="3039.46"/>
        <n v="3050.51"/>
        <n v="3053.88"/>
        <n v="3058.41"/>
        <n v="3059.99"/>
        <n v="3061.22"/>
        <n v="3061.79"/>
        <n v="3068.04"/>
        <n v="3069.75"/>
        <n v="3070.34"/>
        <n v="3084.2"/>
        <n v="3093.41"/>
        <n v="3105.78"/>
        <n v="3108.13"/>
        <n v="3110.47"/>
        <n v="3118.74"/>
        <n v="3120.39"/>
        <n v="3128.87"/>
        <n v="3129.67"/>
        <n v="3142.95"/>
        <n v="3144.44"/>
        <n v="3146.48"/>
        <n v="3148.46"/>
        <n v="3152.29"/>
        <n v="3155.51"/>
        <n v="3157.22"/>
        <n v="3168.68"/>
        <n v="3175.43"/>
        <n v="3176.08"/>
        <n v="3182.33"/>
        <n v="3182.61"/>
        <n v="3187.37"/>
        <n v="3200.46"/>
        <n v="3205.49"/>
        <n v="3217.07"/>
        <n v="3219.47"/>
        <n v="3226.43"/>
        <n v="3231.1"/>
        <n v="3235.39"/>
        <n v="3240.05"/>
        <n v="3241.46"/>
        <n v="3250.94"/>
        <n v="3256.27"/>
        <n v="3269.68"/>
        <n v="3271.45"/>
        <n v="3283.61"/>
        <n v="3287.52"/>
        <n v="3298.47"/>
        <n v="3303.71"/>
        <n v="3313.25"/>
        <n v="3317.45"/>
        <n v="3317.95"/>
        <n v="3318.97"/>
        <n v="3330.91"/>
        <n v="3345.9"/>
        <n v="3350.42"/>
        <n v="3350.7"/>
        <n v="3356.45"/>
        <n v="3360.25"/>
        <n v="3378.83"/>
        <n v="3393.66"/>
        <n v="3400.13"/>
        <n v="3404.62"/>
        <n v="3413.78"/>
        <n v="3421.24"/>
        <n v="3427.72"/>
        <n v="3435.11"/>
        <n v="3454.06"/>
        <n v="3456.56"/>
        <n v="3458.17"/>
        <n v="3483.87"/>
        <n v="3493.54"/>
        <n v="3496.69"/>
        <n v="3521.43"/>
        <n v="3522.98"/>
        <n v="3542.18"/>
        <n v="3545.63"/>
        <n v="3562.67"/>
        <n v="3565.45"/>
        <n v="3578.62"/>
        <n v="3610.49"/>
        <n v="3640.48"/>
        <n v="3648.1"/>
        <n v="3668.63"/>
        <n v="3718.6"/>
        <n v="3764.84"/>
        <n v="3782.4"/>
        <n v="3790.24"/>
        <n v="3812.6"/>
        <n v="3836.97"/>
        <n v="3850.7"/>
        <n v="3861.76"/>
        <n v="3878.61"/>
        <n v="3896.49"/>
        <n v="3946.38"/>
        <n v="3971.83"/>
        <n v="3999.41"/>
        <n v="4020.13"/>
        <n v="4059.47"/>
        <n v="4063.07"/>
        <n v="4086.94"/>
        <n v="4158.42"/>
        <n v="4185.25"/>
        <n v="4270.7299999999996"/>
        <n v="4303.43"/>
        <n v="4349.84"/>
        <n v="4369.3900000000003"/>
        <n v="4369.5"/>
        <n v="4382.2"/>
        <n v="4418.07"/>
        <n v="4433.75"/>
        <n v="4572.79"/>
        <n v="4592.84"/>
        <n v="4593.76"/>
        <n v="4637.8999999999996"/>
        <n v="4687.09"/>
        <n v="4706.59"/>
        <n v="4738.34"/>
        <n v="4767.8599999999997"/>
        <n v="4863.09"/>
        <n v="4982.72"/>
        <n v="5006.33"/>
        <n v="5012.6499999999996"/>
        <n v="5017.2299999999996"/>
        <n v="5099.57"/>
        <n v="5105.28"/>
        <n v="5107.5"/>
        <n v="5131.03"/>
        <n v="5137.84"/>
        <n v="5156.32"/>
        <n v="5168.2700000000004"/>
        <n v="5182.03"/>
        <n v="5184.13"/>
        <n v="5208.3599999999997"/>
        <n v="5212.68"/>
        <n v="5220.42"/>
        <n v="5232.17"/>
        <n v="5239.7"/>
        <n v="5267.4"/>
        <n v="5310.15"/>
        <n v="5344.98"/>
        <n v="5356.45"/>
        <n v="5415.23"/>
        <n v="5432.35"/>
        <n v="5432.51"/>
        <n v="5459.23"/>
        <n v="5481.62"/>
        <n v="5509.86"/>
        <n v="5525.9"/>
        <n v="5539.08"/>
        <n v="5612.39"/>
        <n v="5664.09"/>
        <n v="5686.84"/>
        <n v="5755.04"/>
        <n v="5771.18"/>
        <n v="5778.34"/>
        <n v="5816.52"/>
        <n v="5838.64"/>
        <n v="5845.99"/>
        <n v="5857.99"/>
        <n v="5882.86"/>
        <n v="5908.3"/>
        <n v="5919.61"/>
        <n v="5928.64"/>
        <n v="5933.87"/>
        <n v="5954.75"/>
        <n v="5994.91"/>
        <n v="5995.43"/>
        <n v="6013.41"/>
        <n v="6046.34"/>
        <n v="6055.43"/>
        <n v="6060.49"/>
        <n v="6086.18"/>
        <n v="6089.34"/>
        <n v="6107.94"/>
        <n v="6125.24"/>
        <n v="6134.19"/>
        <n v="6161.75"/>
        <n v="6188.22"/>
        <n v="6190.79"/>
        <n v="6220.2"/>
        <n v="6225.92"/>
        <n v="6246.2"/>
        <n v="6257.19"/>
        <n v="6297.57"/>
        <n v="6304.26"/>
        <n v="6305.3"/>
        <n v="6305.92"/>
        <n v="6370.57"/>
        <n v="6378.79"/>
        <n v="6392.5"/>
        <n v="6406.83"/>
        <n v="6416.46"/>
        <n v="6420.59"/>
        <n v="6424.73"/>
        <n v="6427.32"/>
        <n v="6429.27"/>
        <n v="6430.6"/>
        <n v="6436.28"/>
        <n v="6477.93"/>
        <n v="6480.23"/>
        <n v="6524.06"/>
        <n v="6532.5"/>
        <n v="6569.57"/>
        <n v="6597.13"/>
        <n v="6621.12"/>
        <n v="6636.74"/>
        <n v="6709.51"/>
        <n v="6712.96"/>
        <n v="6721.94"/>
        <n v="6738.32"/>
        <n v="6746.57"/>
        <n v="6791.13"/>
        <n v="6834.11"/>
        <n v="6839.64"/>
        <n v="6872.12"/>
        <n v="6887.66"/>
        <n v="6990.75"/>
        <n v="7062.03"/>
        <n v="7067.06"/>
        <n v="7069.37"/>
        <n v="7127.07"/>
        <n v="7132.79"/>
        <n v="7163.68"/>
        <n v="7216.08"/>
        <n v="7220.42"/>
        <n v="7240.45"/>
        <n v="7280.81"/>
        <n v="7337.28"/>
        <n v="7346.01"/>
        <n v="7393.08"/>
        <n v="7540.53"/>
        <n v="7574.68"/>
        <n v="7586.02"/>
        <n v="7745.63"/>
        <n v="7751.84"/>
        <n v="7754.63"/>
        <n v="7841.83"/>
        <n v="8085.37"/>
        <n v="8129.16"/>
        <n v="8131.77"/>
        <n v="8146.87"/>
        <n v="8311.75"/>
        <n v="8319.0499999999993"/>
        <n v="8380.18"/>
        <n v="8458"/>
        <n v="8467.6"/>
        <n v="8469.4599999999991"/>
        <n v="8477.1200000000008"/>
        <n v="8639.2199999999993"/>
        <n v="8669.01"/>
        <n v="8684.83"/>
        <n v="8725.6"/>
        <n v="8726.74"/>
        <n v="8862.81"/>
        <n v="8911.5"/>
        <n v="9066.73"/>
        <n v="9151.56"/>
        <n v="9201.94"/>
        <n v="9386.4"/>
        <n v="9411.0400000000009"/>
        <n v="9427.91"/>
        <n v="9457.0300000000007"/>
        <n v="9465.59"/>
        <n v="9579.07"/>
        <n v="9622.07"/>
        <n v="9644.91"/>
        <n v="9732.3799999999992"/>
        <n v="9936.24"/>
        <n v="10049.620000000001"/>
        <n v="10201.64"/>
        <n v="10317.49"/>
        <n v="10432.33"/>
        <n v="10752.84"/>
        <n v="10778.35"/>
        <n v="11230.6"/>
        <n v="11239.21"/>
        <n v="11378.85"/>
        <n v="11414.66"/>
        <n v="11527.43"/>
        <n v="11829.16"/>
        <n v="11906.01"/>
        <n v="12139.37"/>
        <n v="12160.17"/>
        <n v="12352.72"/>
        <n v="12409.99"/>
        <n v="12521.49"/>
        <n v="12673.05"/>
        <n v="12687.51"/>
        <n v="12774.73"/>
        <n v="12893.27"/>
        <n v="12945.43"/>
        <n v="13120.91"/>
        <n v="13133.57"/>
        <n v="13224.68"/>
        <n v="13225.26"/>
        <n v="13317.53"/>
        <n v="13491"/>
        <n v="13723.69"/>
        <n v="13831.31"/>
        <n v="13860.37"/>
        <n v="14107.12"/>
        <n v="14212.19"/>
        <n v="14225.75"/>
        <n v="14356.15"/>
        <n v="14397.01"/>
        <n v="14417.97"/>
        <n v="14630.16"/>
        <n v="14725.42"/>
        <n v="15005.67"/>
        <n v="15121.04"/>
        <n v="15191.09"/>
        <n v="15344.77"/>
        <n v="15722.73"/>
        <n v="15809.84"/>
        <n v="15848.76"/>
        <n v="15971.33"/>
        <n v="16180.83"/>
        <n v="16432.62"/>
        <n v="16432.919999999998"/>
        <n v="17351.23"/>
        <n v="18276.2"/>
      </sharedItems>
    </cacheField>
    <cacheField name="Payment Mode" numFmtId="0">
      <sharedItems count="4">
        <s v="Bank Transfer"/>
        <s v="Card"/>
        <s v="Cash"/>
        <s v="UPI"/>
      </sharedItems>
    </cacheField>
    <cacheField name="Customer 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Delivery Status" numFmtId="0">
      <sharedItems count="3">
        <s v="Cancelled"/>
        <s v="Delivered"/>
        <s v="In Transit"/>
      </sharedItems>
    </cacheField>
    <cacheField name="Sales Executive" numFmtId="0">
      <sharedItems count="6">
        <s v="Aman"/>
        <s v="Karan"/>
        <s v="Mohit"/>
        <s v="Neha"/>
        <s v="Priya"/>
        <s v="Rahul"/>
      </sharedItems>
    </cacheField>
    <cacheField name="Profit Margin%" numFmtId="0">
      <sharedItems containsSemiMixedTypes="0" containsString="0" containsNumber="1" minValue="0.18000559346683101" maxValue="0.40538904208128501" count="500">
        <n v="0.18000559346683101"/>
        <n v="0.18029897087039901"/>
        <n v="0.18035078519581599"/>
        <n v="0.18049306634734499"/>
        <n v="0.180912107020892"/>
        <n v="0.18097478395459801"/>
        <n v="0.18097651177403401"/>
        <n v="0.18116932132964"/>
        <n v="0.18120767349040801"/>
        <n v="0.18124357656731799"/>
        <n v="0.181280753843795"/>
        <n v="0.18128617540593001"/>
        <n v="0.181292231875222"/>
        <n v="0.18134244108778599"/>
        <n v="0.18149384275128499"/>
        <n v="0.18165518306216599"/>
        <n v="0.18192721791558999"/>
        <n v="0.18196921220464601"/>
        <n v="0.18203508771929799"/>
        <n v="0.182077798676238"/>
        <n v="0.18217385899095401"/>
        <n v="0.18217907227616001"/>
        <n v="0.18222353365463401"/>
        <n v="0.18237636480411001"/>
        <n v="0.182509486456125"/>
        <n v="0.18257996528638701"/>
        <n v="0.18264666009366501"/>
        <n v="0.182677475898335"/>
        <n v="0.18295471384961901"/>
        <n v="0.183164487412182"/>
        <n v="0.183297333821548"/>
        <n v="0.18342122269613501"/>
        <n v="0.18345830772382701"/>
        <n v="0.183560564613196"/>
        <n v="0.183758677745405"/>
        <n v="0.183859217055688"/>
        <n v="0.18392017903767299"/>
        <n v="0.18398624023075899"/>
        <n v="0.184133557328853"/>
        <n v="0.18441375948151001"/>
        <n v="0.184428567510491"/>
        <n v="0.18444655073473001"/>
        <n v="0.18451401799657899"/>
        <n v="0.18481615598885801"/>
        <n v="0.185010801658201"/>
        <n v="0.18502266172229101"/>
        <n v="0.18515684290412299"/>
        <n v="0.185202241374569"/>
        <n v="0.185251198031781"/>
        <n v="0.18526626043184499"/>
        <n v="0.18529717738851101"/>
        <n v="0.18545840199490499"/>
        <n v="0.185600612598215"/>
        <n v="0.18564826584347199"/>
        <n v="0.185888046597285"/>
        <n v="0.18590030141432901"/>
        <n v="0.186162798607375"/>
        <n v="0.18617922769298001"/>
        <n v="0.18619227188081899"/>
        <n v="0.18624120840217101"/>
        <n v="0.186255679068524"/>
        <n v="0.186406407669021"/>
        <n v="0.18654219095296101"/>
        <n v="0.186581767959384"/>
        <n v="0.18663688491798899"/>
        <n v="0.186665479536442"/>
        <n v="0.18668857761249699"/>
        <n v="0.18669185001025801"/>
        <n v="0.18673701266623199"/>
        <n v="0.186752444863476"/>
        <n v="0.186904570432918"/>
        <n v="0.18704776532022699"/>
        <n v="0.187079124066243"/>
        <n v="0.18714743438722101"/>
        <n v="0.187194773091554"/>
        <n v="0.187378596185032"/>
        <n v="0.18738789353084301"/>
        <n v="0.187449086634111"/>
        <n v="0.187455671743578"/>
        <n v="0.18745840246926801"/>
        <n v="0.18748089538107801"/>
        <n v="0.18748327878184101"/>
        <n v="0.18749299719887999"/>
        <n v="0.18761537514870599"/>
        <n v="0.187685094335383"/>
        <n v="0.18790318645391099"/>
        <n v="0.187924740151418"/>
        <n v="0.18797655144531999"/>
        <n v="0.18798282870216201"/>
        <n v="0.18801996672213001"/>
        <n v="0.18816929840736801"/>
        <n v="0.188275544073184"/>
        <n v="0.188370270875308"/>
        <n v="0.188511009650044"/>
        <n v="0.188531055093555"/>
        <n v="0.18857860581955199"/>
        <n v="0.18861883007374999"/>
        <n v="0.18865794148273701"/>
        <n v="0.18869006623176601"/>
        <n v="0.18869579377492299"/>
        <n v="0.188721954065666"/>
        <n v="0.18879727685325301"/>
        <n v="0.188813974505327"/>
        <n v="0.188892761705588"/>
        <n v="0.18905594687600799"/>
        <n v="0.189103411135776"/>
        <n v="0.189320046142015"/>
        <n v="0.18936443102665801"/>
        <n v="0.18944864567578701"/>
        <n v="0.18946418515025501"/>
        <n v="0.18948165242724799"/>
        <n v="0.189568552253116"/>
        <n v="0.18983198497106299"/>
        <n v="0.190130451312927"/>
        <n v="0.190162273980999"/>
        <n v="0.19016948115516399"/>
        <n v="0.190188756720689"/>
        <n v="0.19034607282575999"/>
        <n v="0.19036496350365001"/>
        <n v="0.190374308275819"/>
        <n v="0.190496193764536"/>
        <n v="0.19050413896050999"/>
        <n v="0.19058819636327501"/>
        <n v="0.19062839506172799"/>
        <n v="0.19073803696128599"/>
        <n v="0.19080060278507799"/>
        <n v="0.19094605760151101"/>
        <n v="0.19104787878787899"/>
        <n v="0.191140060183598"/>
        <n v="0.191208522699506"/>
        <n v="0.191363683965004"/>
        <n v="0.19139094230605799"/>
        <n v="0.19185851981996499"/>
        <n v="0.191859312652851"/>
        <n v="0.19187311477031099"/>
        <n v="0.191891902601391"/>
        <n v="0.19192493345964701"/>
        <n v="0.19204409505737799"/>
        <n v="0.19207041343669301"/>
        <n v="0.192070417145044"/>
        <n v="0.19213766718912001"/>
        <n v="0.19256405690429601"/>
        <n v="0.192580767480661"/>
        <n v="0.19275262891525599"/>
        <n v="0.192869900094882"/>
        <n v="0.19292854415167199"/>
        <n v="0.192976076555024"/>
        <n v="0.19298399146211301"/>
        <n v="0.19298717857901801"/>
        <n v="0.19321825469120099"/>
        <n v="0.19322818099670899"/>
        <n v="0.19346362649294199"/>
        <n v="0.19357828533598101"/>
        <n v="0.19369753198714501"/>
        <n v="0.193705990683566"/>
        <n v="0.19381134661031499"/>
        <n v="0.19413472605893201"/>
        <n v="0.19416531390637601"/>
        <n v="0.194288788155107"/>
        <n v="0.19441530970391899"/>
        <n v="0.19460297766749399"/>
        <n v="0.194617218947328"/>
        <n v="0.19461917463139999"/>
        <n v="0.194649169512356"/>
        <n v="0.19465422146796801"/>
        <n v="0.19468619614685001"/>
        <n v="0.194701160809265"/>
        <n v="0.19476739105438701"/>
        <n v="0.19480328445497699"/>
        <n v="0.19480414421881501"/>
        <n v="0.19492972115948001"/>
        <n v="0.195010085917071"/>
        <n v="0.195300617567499"/>
        <n v="0.19531510934710999"/>
        <n v="0.195321422111981"/>
        <n v="0.195360847866315"/>
        <n v="0.19553150523488499"/>
        <n v="0.19561818336741699"/>
        <n v="0.19564233163554001"/>
        <n v="0.195676663306452"/>
        <n v="0.19569262070165599"/>
        <n v="0.19579259584752301"/>
        <n v="0.19580661664392901"/>
        <n v="0.19586691352646499"/>
        <n v="0.195990254135152"/>
        <n v="0.19599556352287201"/>
        <n v="0.196090355655239"/>
        <n v="0.19625544481358401"/>
        <n v="0.19628250585179399"/>
        <n v="0.19635123590914999"/>
        <n v="0.196441593999792"/>
        <n v="0.196550259296039"/>
        <n v="0.196660103863494"/>
        <n v="0.196774515710222"/>
        <n v="0.196776486837829"/>
        <n v="0.196779008184882"/>
        <n v="0.19684298110067799"/>
        <n v="0.19694672902220101"/>
        <n v="0.19698794006578099"/>
        <n v="0.197215011303876"/>
        <n v="0.19734964694424201"/>
        <n v="0.197418517762107"/>
        <n v="0.197556978428234"/>
        <n v="0.19760218918127201"/>
        <n v="0.19769649566750999"/>
        <n v="0.19773839062373899"/>
        <n v="0.198108292019053"/>
        <n v="0.198156304714143"/>
        <n v="0.19823007961883299"/>
        <n v="0.198409009470182"/>
        <n v="0.198483317787185"/>
        <n v="0.19849740696933901"/>
        <n v="0.19850117360934399"/>
        <n v="0.19873208519746799"/>
        <n v="0.199019740919503"/>
        <n v="0.199049962935508"/>
        <n v="0.19930542933554901"/>
        <n v="0.19946200284090901"/>
        <n v="0.19953514604607001"/>
        <n v="0.199603695869977"/>
        <n v="0.19984309154487601"/>
        <n v="0.19985720439244001"/>
        <n v="0.19990252908515799"/>
        <n v="0.20003862227063399"/>
        <n v="0.20005208891318901"/>
        <n v="0.20013360976733499"/>
        <n v="0.200174725855463"/>
        <n v="0.20021813224267199"/>
        <n v="0.20028674791190801"/>
        <n v="0.200303937100276"/>
        <n v="0.20037052827885299"/>
        <n v="0.20052914934136401"/>
        <n v="0.20054253618783899"/>
        <n v="0.20081346971000699"/>
        <n v="0.20099496724202301"/>
        <n v="0.20117385691554801"/>
        <n v="0.201183336863865"/>
        <n v="0.201194803308965"/>
        <n v="0.20123567948729601"/>
        <n v="0.20125345633823399"/>
        <n v="0.201463767205078"/>
        <n v="0.201467568972658"/>
        <n v="0.201491767084298"/>
        <n v="0.201552307819338"/>
        <n v="0.201610974953673"/>
        <n v="0.20174042025630301"/>
        <n v="0.20181386002453999"/>
        <n v="0.20187609582976099"/>
        <n v="0.201911662716387"/>
        <n v="0.20205102611435499"/>
        <n v="0.20206967174728899"/>
        <n v="0.20209494094049499"/>
        <n v="0.20210557211932101"/>
        <n v="0.20211454815764601"/>
        <n v="0.20223718344657199"/>
        <n v="0.20227180314537199"/>
        <n v="0.20232064128256499"/>
        <n v="0.202396757013694"/>
        <n v="0.20242059952140201"/>
        <n v="0.20254257514357499"/>
        <n v="0.2028014837488"/>
        <n v="0.202902719575077"/>
        <n v="0.20300942598902899"/>
        <n v="0.203048287024548"/>
        <n v="0.20310699349442399"/>
        <n v="0.20315262316348401"/>
        <n v="0.20326575180758399"/>
        <n v="0.20330324709536099"/>
        <n v="0.20335703095611099"/>
        <n v="0.20343016502443301"/>
        <n v="0.203521130905089"/>
        <n v="0.20355223820635501"/>
        <n v="0.20359360826181"/>
        <n v="0.20361317499300499"/>
        <n v="0.20366139218051499"/>
        <n v="0.20369036322676001"/>
        <n v="0.20371149461473101"/>
        <n v="0.203731571308533"/>
        <n v="0.20373526936026901"/>
        <n v="0.20380563629991599"/>
        <n v="0.203980604347966"/>
        <n v="0.204100833841169"/>
        <n v="0.20412612695598101"/>
        <n v="0.20418741964074"/>
        <n v="0.20420981713185801"/>
        <n v="0.20421296437387601"/>
        <n v="0.204437793641849"/>
        <n v="0.20444515065913399"/>
        <n v="0.20446023518921"/>
        <n v="0.20449635847426201"/>
        <n v="0.204862086080976"/>
        <n v="0.20495405904179401"/>
        <n v="0.20514193296525601"/>
        <n v="0.205272932816537"/>
        <n v="0.20533238837703799"/>
        <n v="0.20539139510611201"/>
        <n v="0.205432598947556"/>
        <n v="0.205467642162806"/>
        <n v="0.205564966135168"/>
        <n v="0.20560765493541899"/>
        <n v="0.205624503010337"/>
        <n v="0.20584334197300999"/>
        <n v="0.20587307003326799"/>
        <n v="0.205886821381281"/>
        <n v="0.206067499559137"/>
        <n v="0.20608327712025501"/>
        <n v="0.20609920407392801"/>
        <n v="0.20620166265967599"/>
        <n v="0.20622287464896599"/>
        <n v="0.20625841733259301"/>
        <n v="0.206340141925585"/>
        <n v="0.20646928455487601"/>
        <n v="0.206512508212958"/>
        <n v="0.20664933385421599"/>
        <n v="0.20687107042587699"/>
        <n v="0.20691535194955599"/>
        <n v="0.20694448279670799"/>
        <n v="0.207041195921742"/>
        <n v="0.20727510646743399"/>
        <n v="0.20751663279089999"/>
        <n v="0.207538074053151"/>
        <n v="0.207599894500857"/>
        <n v="0.20761624799572401"/>
        <n v="0.20766465131629799"/>
        <n v="0.20766976730363501"/>
        <n v="0.207705848403232"/>
        <n v="0.207959141981614"/>
        <n v="0.208078443394693"/>
        <n v="0.20820634761155199"/>
        <n v="0.208271873845644"/>
        <n v="0.208394475399408"/>
        <n v="0.208405580468361"/>
        <n v="0.20848300644488199"/>
        <n v="0.20851489522847799"/>
        <n v="0.208548609317145"/>
        <n v="0.20855350464471001"/>
        <n v="0.20863037251806901"/>
        <n v="0.20870123853057601"/>
        <n v="0.20883784068580399"/>
        <n v="0.208899988316392"/>
        <n v="0.208913220626887"/>
        <n v="0.20896191312345799"/>
        <n v="0.20897748820280901"/>
        <n v="0.209011888404325"/>
        <n v="0.20905172985373499"/>
        <n v="0.20911874999999999"/>
        <n v="0.20915586181235299"/>
        <n v="0.20919898490369601"/>
        <n v="0.20929468208121399"/>
        <n v="0.20933673891857801"/>
        <n v="0.20961645830804701"/>
        <n v="0.20967833328940799"/>
        <n v="0.20968499480858599"/>
        <n v="0.209858267901918"/>
        <n v="0.21007889009793301"/>
        <n v="0.21023438841508801"/>
        <n v="0.21025221729490001"/>
        <n v="0.210322484720907"/>
        <n v="0.21044020436649"/>
        <n v="0.21045484654449101"/>
        <n v="0.210516922884248"/>
        <n v="0.210923214536751"/>
        <n v="0.210963676602899"/>
        <n v="0.21098641939252299"/>
        <n v="0.21105813225449099"/>
        <n v="0.21106113943513799"/>
        <n v="0.21122553816046999"/>
        <n v="0.211264611392981"/>
        <n v="0.21138606046254599"/>
        <n v="0.21139030771147399"/>
        <n v="0.21158104633468"/>
        <n v="0.211597230236584"/>
        <n v="0.21163858299058"/>
        <n v="0.21167885618368201"/>
        <n v="0.21169054013727201"/>
        <n v="0.211737586320289"/>
        <n v="0.21176788124156501"/>
        <n v="0.21179036432672499"/>
        <n v="0.21182905982906"/>
        <n v="0.21183320230872099"/>
        <n v="0.21184196190683699"/>
        <n v="0.212003749872683"/>
        <n v="0.21211165048543701"/>
        <n v="0.21239109275217799"/>
        <n v="0.21244198436706599"/>
        <n v="0.212474469259991"/>
        <n v="0.21258851000995799"/>
        <n v="0.21268551688843401"/>
        <n v="0.212818668914418"/>
        <n v="0.21306924986699799"/>
        <n v="0.213123765411076"/>
        <n v="0.21339664847438"/>
        <n v="0.21341031805923599"/>
        <n v="0.21346078656078499"/>
        <n v="0.21351467905125199"/>
        <n v="0.213556969346443"/>
        <n v="0.21371456293771501"/>
        <n v="0.21392408307194"/>
        <n v="0.21402288984263201"/>
        <n v="0.21409713980470099"/>
        <n v="0.21411743074282899"/>
        <n v="0.214178947051201"/>
        <n v="0.214380927967188"/>
        <n v="0.214428129206757"/>
        <n v="0.214586767645396"/>
        <n v="0.214704775838646"/>
        <n v="0.21476048319911101"/>
        <n v="0.21477085193301401"/>
        <n v="0.21485908039933399"/>
        <n v="0.21489686759336399"/>
        <n v="0.21496003416925999"/>
        <n v="0.21497874468617201"/>
        <n v="0.21497919045339001"/>
        <n v="0.21516293846002699"/>
        <n v="0.21546524339270801"/>
        <n v="0.21553641158273701"/>
        <n v="0.21559263220605299"/>
        <n v="0.215611796811149"/>
        <n v="0.21586816027574299"/>
        <n v="0.21610653709452499"/>
        <n v="0.21613543712903699"/>
        <n v="0.21617769634530001"/>
        <n v="0.21638443935926799"/>
        <n v="0.21642610089421299"/>
        <n v="0.21644850291161499"/>
        <n v="0.21667473709042601"/>
        <n v="0.21668550231096501"/>
        <n v="0.21706660849331"/>
        <n v="0.217096806951879"/>
        <n v="0.21711752282750499"/>
        <n v="0.21757979334098701"/>
        <n v="0.217588703988666"/>
        <n v="0.21760720482525001"/>
        <n v="0.21761586802828001"/>
        <n v="0.21767016915882501"/>
        <n v="0.21768373879641501"/>
        <n v="0.217789101051277"/>
        <n v="0.217850501147204"/>
        <n v="0.217903381577259"/>
        <n v="0.217928032823242"/>
        <n v="0.21798800636397"/>
        <n v="0.21800901628313801"/>
        <n v="0.21806159895150701"/>
        <n v="0.218104597311646"/>
        <n v="0.21832279853752201"/>
        <n v="0.21833698851074099"/>
        <n v="0.218341952249304"/>
        <n v="0.218649022214286"/>
        <n v="0.21875038093496699"/>
        <n v="0.21878876678876699"/>
        <n v="0.21880612958103099"/>
        <n v="0.21885072637432201"/>
        <n v="0.21895838962442599"/>
        <n v="0.21898587456069199"/>
        <n v="0.219028931080475"/>
        <n v="0.21907237228874701"/>
        <n v="0.21910087425203201"/>
        <n v="0.21910602658250899"/>
        <n v="0.21914462615249999"/>
        <n v="0.219179441669172"/>
        <n v="0.219186856953203"/>
        <n v="0.21933588714133101"/>
        <n v="0.219376213387355"/>
        <n v="0.21946091959790601"/>
        <n v="0.219603667553978"/>
        <n v="0.21964817668207501"/>
        <n v="0.21966270435853899"/>
        <n v="0.219718619600767"/>
        <n v="0.219780574738249"/>
        <n v="0.21983616707148601"/>
        <n v="0.21990159894169001"/>
        <n v="0.219919190499614"/>
        <n v="0.219960613066187"/>
        <n v="0.24324713911687701"/>
        <n v="0.243372789115646"/>
        <n v="0.24680478892948801"/>
        <n v="0.248973245961851"/>
        <n v="0.25473967820279297"/>
        <n v="0.25653554849743498"/>
        <n v="0.26617565534172799"/>
        <n v="0.26715396113602402"/>
        <n v="0.27175573141878101"/>
        <n v="0.27680605861047097"/>
        <n v="0.27910687888892699"/>
        <n v="0.282312759209563"/>
        <n v="0.28820141065830701"/>
        <n v="0.28975355691056898"/>
        <n v="0.29138806373210902"/>
        <n v="0.29777129211992598"/>
        <n v="0.33179794257638601"/>
        <n v="0.33184822521419799"/>
        <n v="0.338117438545118"/>
        <n v="0.34869238005644398"/>
        <n v="0.360316205533597"/>
        <n v="0.36681069958847701"/>
        <n v="0.36983242664569299"/>
        <n v="0.38233638704269202"/>
        <n v="0.38663083765752398"/>
        <n v="0.40244467703349301"/>
        <n v="0.40538904208128501"/>
      </sharedItems>
    </cacheField>
    <cacheField name="Customer Segment" numFmtId="0">
      <sharedItems count="3">
        <s v="High Value"/>
        <s v="Low Value"/>
        <s v="Medium Value"/>
      </sharedItems>
    </cacheField>
    <cacheField name="order Size" numFmtId="0">
      <sharedItems count="2">
        <s v="Bulk Order"/>
        <s v="Regular Order"/>
      </sharedItems>
    </cacheField>
    <cacheField name="Day" numFmtId="0">
      <sharedItems count="7">
        <s v="Friday"/>
        <s v="Monday"/>
        <s v="Saturday"/>
        <s v="Sunday"/>
        <s v="Thursday"/>
        <s v="Tuesday"/>
        <s v="Wednes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19"/>
    <x v="1"/>
    <x v="0"/>
    <x v="39"/>
    <x v="1"/>
    <x v="0"/>
    <x v="1"/>
    <x v="6"/>
    <x v="4"/>
    <x v="1"/>
    <x v="1"/>
    <x v="230"/>
    <x v="3"/>
    <x v="270"/>
    <x v="272"/>
    <x v="267"/>
    <x v="3"/>
    <x v="0"/>
    <x v="2"/>
    <x v="4"/>
    <x v="140"/>
    <x v="2"/>
    <x v="1"/>
    <x v="6"/>
  </r>
  <r>
    <x v="1"/>
    <x v="1"/>
    <x v="41"/>
    <x v="0"/>
    <x v="6"/>
    <x v="124"/>
    <x v="12"/>
    <x v="1"/>
    <x v="1"/>
    <x v="3"/>
    <x v="5"/>
    <x v="0"/>
    <x v="0"/>
    <x v="40"/>
    <x v="2"/>
    <x v="26"/>
    <x v="30"/>
    <x v="27"/>
    <x v="2"/>
    <x v="1"/>
    <x v="1"/>
    <x v="3"/>
    <x v="235"/>
    <x v="1"/>
    <x v="1"/>
    <x v="4"/>
  </r>
  <r>
    <x v="2"/>
    <x v="2"/>
    <x v="15"/>
    <x v="1"/>
    <x v="1"/>
    <x v="105"/>
    <x v="49"/>
    <x v="1"/>
    <x v="0"/>
    <x v="1"/>
    <x v="6"/>
    <x v="5"/>
    <x v="3"/>
    <x v="379"/>
    <x v="0"/>
    <x v="472"/>
    <x v="468"/>
    <x v="482"/>
    <x v="0"/>
    <x v="1"/>
    <x v="2"/>
    <x v="5"/>
    <x v="448"/>
    <x v="0"/>
    <x v="0"/>
    <x v="2"/>
  </r>
  <r>
    <x v="3"/>
    <x v="3"/>
    <x v="13"/>
    <x v="1"/>
    <x v="4"/>
    <x v="162"/>
    <x v="23"/>
    <x v="0"/>
    <x v="1"/>
    <x v="3"/>
    <x v="1"/>
    <x v="4"/>
    <x v="0"/>
    <x v="61"/>
    <x v="1"/>
    <x v="42"/>
    <x v="47"/>
    <x v="28"/>
    <x v="3"/>
    <x v="2"/>
    <x v="1"/>
    <x v="3"/>
    <x v="40"/>
    <x v="1"/>
    <x v="1"/>
    <x v="4"/>
  </r>
  <r>
    <x v="4"/>
    <x v="4"/>
    <x v="20"/>
    <x v="1"/>
    <x v="4"/>
    <x v="158"/>
    <x v="40"/>
    <x v="1"/>
    <x v="1"/>
    <x v="1"/>
    <x v="6"/>
    <x v="5"/>
    <x v="1"/>
    <x v="311"/>
    <x v="2"/>
    <x v="325"/>
    <x v="322"/>
    <x v="333"/>
    <x v="2"/>
    <x v="2"/>
    <x v="2"/>
    <x v="2"/>
    <x v="290"/>
    <x v="2"/>
    <x v="1"/>
    <x v="4"/>
  </r>
  <r>
    <x v="5"/>
    <x v="5"/>
    <x v="8"/>
    <x v="1"/>
    <x v="2"/>
    <x v="65"/>
    <x v="2"/>
    <x v="1"/>
    <x v="1"/>
    <x v="3"/>
    <x v="5"/>
    <x v="0"/>
    <x v="1"/>
    <x v="35"/>
    <x v="1"/>
    <x v="122"/>
    <x v="132"/>
    <x v="106"/>
    <x v="1"/>
    <x v="1"/>
    <x v="1"/>
    <x v="5"/>
    <x v="20"/>
    <x v="1"/>
    <x v="1"/>
    <x v="2"/>
  </r>
  <r>
    <x v="6"/>
    <x v="6"/>
    <x v="2"/>
    <x v="1"/>
    <x v="6"/>
    <x v="150"/>
    <x v="31"/>
    <x v="0"/>
    <x v="0"/>
    <x v="1"/>
    <x v="6"/>
    <x v="5"/>
    <x v="3"/>
    <x v="410"/>
    <x v="1"/>
    <x v="466"/>
    <x v="470"/>
    <x v="457"/>
    <x v="2"/>
    <x v="2"/>
    <x v="1"/>
    <x v="0"/>
    <x v="4"/>
    <x v="0"/>
    <x v="0"/>
    <x v="3"/>
  </r>
  <r>
    <x v="7"/>
    <x v="7"/>
    <x v="37"/>
    <x v="0"/>
    <x v="1"/>
    <x v="61"/>
    <x v="23"/>
    <x v="0"/>
    <x v="1"/>
    <x v="1"/>
    <x v="6"/>
    <x v="5"/>
    <x v="0"/>
    <x v="352"/>
    <x v="1"/>
    <x v="186"/>
    <x v="190"/>
    <x v="172"/>
    <x v="1"/>
    <x v="2"/>
    <x v="0"/>
    <x v="5"/>
    <x v="184"/>
    <x v="2"/>
    <x v="1"/>
    <x v="3"/>
  </r>
  <r>
    <x v="8"/>
    <x v="8"/>
    <x v="11"/>
    <x v="1"/>
    <x v="0"/>
    <x v="1"/>
    <x v="28"/>
    <x v="1"/>
    <x v="0"/>
    <x v="1"/>
    <x v="3"/>
    <x v="1"/>
    <x v="3"/>
    <x v="343"/>
    <x v="2"/>
    <x v="456"/>
    <x v="456"/>
    <x v="459"/>
    <x v="3"/>
    <x v="1"/>
    <x v="1"/>
    <x v="4"/>
    <x v="311"/>
    <x v="0"/>
    <x v="0"/>
    <x v="5"/>
  </r>
  <r>
    <x v="9"/>
    <x v="9"/>
    <x v="14"/>
    <x v="1"/>
    <x v="2"/>
    <x v="151"/>
    <x v="46"/>
    <x v="1"/>
    <x v="0"/>
    <x v="1"/>
    <x v="6"/>
    <x v="5"/>
    <x v="2"/>
    <x v="363"/>
    <x v="1"/>
    <x v="439"/>
    <x v="439"/>
    <x v="439"/>
    <x v="1"/>
    <x v="2"/>
    <x v="1"/>
    <x v="0"/>
    <x v="262"/>
    <x v="0"/>
    <x v="0"/>
    <x v="0"/>
  </r>
  <r>
    <x v="10"/>
    <x v="10"/>
    <x v="60"/>
    <x v="0"/>
    <x v="3"/>
    <x v="79"/>
    <x v="29"/>
    <x v="0"/>
    <x v="0"/>
    <x v="1"/>
    <x v="6"/>
    <x v="5"/>
    <x v="3"/>
    <x v="408"/>
    <x v="0"/>
    <x v="476"/>
    <x v="476"/>
    <x v="475"/>
    <x v="3"/>
    <x v="1"/>
    <x v="1"/>
    <x v="3"/>
    <x v="244"/>
    <x v="0"/>
    <x v="0"/>
    <x v="5"/>
  </r>
  <r>
    <x v="11"/>
    <x v="11"/>
    <x v="0"/>
    <x v="1"/>
    <x v="2"/>
    <x v="119"/>
    <x v="42"/>
    <x v="0"/>
    <x v="1"/>
    <x v="3"/>
    <x v="5"/>
    <x v="0"/>
    <x v="1"/>
    <x v="106"/>
    <x v="2"/>
    <x v="168"/>
    <x v="175"/>
    <x v="134"/>
    <x v="3"/>
    <x v="2"/>
    <x v="1"/>
    <x v="4"/>
    <x v="70"/>
    <x v="1"/>
    <x v="1"/>
    <x v="0"/>
  </r>
  <r>
    <x v="12"/>
    <x v="12"/>
    <x v="58"/>
    <x v="0"/>
    <x v="2"/>
    <x v="115"/>
    <x v="40"/>
    <x v="1"/>
    <x v="1"/>
    <x v="3"/>
    <x v="1"/>
    <x v="4"/>
    <x v="0"/>
    <x v="74"/>
    <x v="2"/>
    <x v="35"/>
    <x v="39"/>
    <x v="25"/>
    <x v="3"/>
    <x v="2"/>
    <x v="1"/>
    <x v="3"/>
    <x v="89"/>
    <x v="1"/>
    <x v="1"/>
    <x v="3"/>
  </r>
  <r>
    <x v="13"/>
    <x v="13"/>
    <x v="25"/>
    <x v="1"/>
    <x v="2"/>
    <x v="28"/>
    <x v="39"/>
    <x v="0"/>
    <x v="0"/>
    <x v="3"/>
    <x v="1"/>
    <x v="4"/>
    <x v="2"/>
    <x v="148"/>
    <x v="2"/>
    <x v="298"/>
    <x v="300"/>
    <x v="304"/>
    <x v="3"/>
    <x v="2"/>
    <x v="1"/>
    <x v="1"/>
    <x v="374"/>
    <x v="2"/>
    <x v="0"/>
    <x v="5"/>
  </r>
  <r>
    <x v="14"/>
    <x v="14"/>
    <x v="35"/>
    <x v="0"/>
    <x v="2"/>
    <x v="94"/>
    <x v="0"/>
    <x v="1"/>
    <x v="1"/>
    <x v="1"/>
    <x v="3"/>
    <x v="1"/>
    <x v="0"/>
    <x v="369"/>
    <x v="1"/>
    <x v="195"/>
    <x v="199"/>
    <x v="178"/>
    <x v="1"/>
    <x v="2"/>
    <x v="1"/>
    <x v="3"/>
    <x v="185"/>
    <x v="2"/>
    <x v="1"/>
    <x v="0"/>
  </r>
  <r>
    <x v="15"/>
    <x v="15"/>
    <x v="17"/>
    <x v="1"/>
    <x v="6"/>
    <x v="3"/>
    <x v="3"/>
    <x v="1"/>
    <x v="1"/>
    <x v="1"/>
    <x v="6"/>
    <x v="5"/>
    <x v="1"/>
    <x v="393"/>
    <x v="0"/>
    <x v="386"/>
    <x v="391"/>
    <x v="354"/>
    <x v="3"/>
    <x v="2"/>
    <x v="1"/>
    <x v="0"/>
    <x v="53"/>
    <x v="0"/>
    <x v="1"/>
    <x v="1"/>
  </r>
  <r>
    <x v="16"/>
    <x v="16"/>
    <x v="1"/>
    <x v="1"/>
    <x v="0"/>
    <x v="62"/>
    <x v="2"/>
    <x v="1"/>
    <x v="1"/>
    <x v="2"/>
    <x v="0"/>
    <x v="2"/>
    <x v="0"/>
    <x v="7"/>
    <x v="1"/>
    <x v="3"/>
    <x v="3"/>
    <x v="2"/>
    <x v="2"/>
    <x v="2"/>
    <x v="1"/>
    <x v="3"/>
    <x v="490"/>
    <x v="1"/>
    <x v="1"/>
    <x v="2"/>
  </r>
  <r>
    <x v="17"/>
    <x v="17"/>
    <x v="14"/>
    <x v="1"/>
    <x v="7"/>
    <x v="105"/>
    <x v="14"/>
    <x v="1"/>
    <x v="0"/>
    <x v="1"/>
    <x v="6"/>
    <x v="5"/>
    <x v="2"/>
    <x v="441"/>
    <x v="1"/>
    <x v="445"/>
    <x v="447"/>
    <x v="437"/>
    <x v="2"/>
    <x v="1"/>
    <x v="1"/>
    <x v="2"/>
    <x v="124"/>
    <x v="0"/>
    <x v="0"/>
    <x v="0"/>
  </r>
  <r>
    <x v="18"/>
    <x v="18"/>
    <x v="1"/>
    <x v="1"/>
    <x v="4"/>
    <x v="68"/>
    <x v="16"/>
    <x v="0"/>
    <x v="1"/>
    <x v="3"/>
    <x v="1"/>
    <x v="4"/>
    <x v="1"/>
    <x v="142"/>
    <x v="0"/>
    <x v="260"/>
    <x v="257"/>
    <x v="271"/>
    <x v="2"/>
    <x v="1"/>
    <x v="1"/>
    <x v="4"/>
    <x v="467"/>
    <x v="2"/>
    <x v="1"/>
    <x v="2"/>
  </r>
  <r>
    <x v="19"/>
    <x v="19"/>
    <x v="25"/>
    <x v="1"/>
    <x v="2"/>
    <x v="124"/>
    <x v="21"/>
    <x v="1"/>
    <x v="1"/>
    <x v="1"/>
    <x v="6"/>
    <x v="5"/>
    <x v="1"/>
    <x v="427"/>
    <x v="1"/>
    <x v="374"/>
    <x v="371"/>
    <x v="393"/>
    <x v="1"/>
    <x v="1"/>
    <x v="1"/>
    <x v="4"/>
    <x v="396"/>
    <x v="0"/>
    <x v="1"/>
    <x v="5"/>
  </r>
  <r>
    <x v="20"/>
    <x v="20"/>
    <x v="23"/>
    <x v="1"/>
    <x v="7"/>
    <x v="32"/>
    <x v="3"/>
    <x v="1"/>
    <x v="1"/>
    <x v="3"/>
    <x v="5"/>
    <x v="0"/>
    <x v="0"/>
    <x v="31"/>
    <x v="0"/>
    <x v="36"/>
    <x v="37"/>
    <x v="45"/>
    <x v="1"/>
    <x v="1"/>
    <x v="1"/>
    <x v="3"/>
    <x v="294"/>
    <x v="1"/>
    <x v="1"/>
    <x v="3"/>
  </r>
  <r>
    <x v="21"/>
    <x v="21"/>
    <x v="52"/>
    <x v="0"/>
    <x v="7"/>
    <x v="74"/>
    <x v="45"/>
    <x v="0"/>
    <x v="1"/>
    <x v="5"/>
    <x v="8"/>
    <x v="6"/>
    <x v="0"/>
    <x v="13"/>
    <x v="1"/>
    <x v="10"/>
    <x v="12"/>
    <x v="4"/>
    <x v="3"/>
    <x v="2"/>
    <x v="1"/>
    <x v="1"/>
    <x v="475"/>
    <x v="1"/>
    <x v="1"/>
    <x v="1"/>
  </r>
  <r>
    <x v="22"/>
    <x v="22"/>
    <x v="56"/>
    <x v="0"/>
    <x v="0"/>
    <x v="130"/>
    <x v="14"/>
    <x v="1"/>
    <x v="1"/>
    <x v="1"/>
    <x v="3"/>
    <x v="1"/>
    <x v="1"/>
    <x v="288"/>
    <x v="0"/>
    <x v="361"/>
    <x v="374"/>
    <x v="328"/>
    <x v="2"/>
    <x v="1"/>
    <x v="1"/>
    <x v="2"/>
    <x v="5"/>
    <x v="0"/>
    <x v="1"/>
    <x v="0"/>
  </r>
  <r>
    <x v="23"/>
    <x v="23"/>
    <x v="18"/>
    <x v="1"/>
    <x v="2"/>
    <x v="12"/>
    <x v="3"/>
    <x v="1"/>
    <x v="0"/>
    <x v="3"/>
    <x v="5"/>
    <x v="0"/>
    <x v="2"/>
    <x v="127"/>
    <x v="0"/>
    <x v="309"/>
    <x v="308"/>
    <x v="312"/>
    <x v="3"/>
    <x v="2"/>
    <x v="1"/>
    <x v="3"/>
    <x v="225"/>
    <x v="2"/>
    <x v="0"/>
    <x v="5"/>
  </r>
  <r>
    <x v="24"/>
    <x v="24"/>
    <x v="5"/>
    <x v="1"/>
    <x v="3"/>
    <x v="55"/>
    <x v="35"/>
    <x v="0"/>
    <x v="1"/>
    <x v="1"/>
    <x v="3"/>
    <x v="1"/>
    <x v="0"/>
    <x v="286"/>
    <x v="2"/>
    <x v="125"/>
    <x v="125"/>
    <x v="150"/>
    <x v="1"/>
    <x v="0"/>
    <x v="2"/>
    <x v="1"/>
    <x v="334"/>
    <x v="1"/>
    <x v="1"/>
    <x v="6"/>
  </r>
  <r>
    <x v="25"/>
    <x v="25"/>
    <x v="34"/>
    <x v="0"/>
    <x v="7"/>
    <x v="100"/>
    <x v="49"/>
    <x v="1"/>
    <x v="1"/>
    <x v="1"/>
    <x v="6"/>
    <x v="5"/>
    <x v="1"/>
    <x v="474"/>
    <x v="3"/>
    <x v="350"/>
    <x v="346"/>
    <x v="370"/>
    <x v="3"/>
    <x v="2"/>
    <x v="1"/>
    <x v="5"/>
    <x v="380"/>
    <x v="0"/>
    <x v="1"/>
    <x v="4"/>
  </r>
  <r>
    <x v="26"/>
    <x v="26"/>
    <x v="49"/>
    <x v="0"/>
    <x v="1"/>
    <x v="16"/>
    <x v="19"/>
    <x v="0"/>
    <x v="1"/>
    <x v="4"/>
    <x v="7"/>
    <x v="3"/>
    <x v="0"/>
    <x v="174"/>
    <x v="1"/>
    <x v="78"/>
    <x v="78"/>
    <x v="76"/>
    <x v="2"/>
    <x v="2"/>
    <x v="1"/>
    <x v="4"/>
    <x v="253"/>
    <x v="1"/>
    <x v="1"/>
    <x v="0"/>
  </r>
  <r>
    <x v="27"/>
    <x v="27"/>
    <x v="14"/>
    <x v="1"/>
    <x v="6"/>
    <x v="10"/>
    <x v="5"/>
    <x v="0"/>
    <x v="1"/>
    <x v="1"/>
    <x v="3"/>
    <x v="1"/>
    <x v="1"/>
    <x v="347"/>
    <x v="1"/>
    <x v="356"/>
    <x v="347"/>
    <x v="381"/>
    <x v="1"/>
    <x v="2"/>
    <x v="1"/>
    <x v="4"/>
    <x v="413"/>
    <x v="0"/>
    <x v="1"/>
    <x v="0"/>
  </r>
  <r>
    <x v="28"/>
    <x v="28"/>
    <x v="58"/>
    <x v="0"/>
    <x v="1"/>
    <x v="83"/>
    <x v="46"/>
    <x v="1"/>
    <x v="1"/>
    <x v="1"/>
    <x v="3"/>
    <x v="1"/>
    <x v="0"/>
    <x v="365"/>
    <x v="2"/>
    <x v="152"/>
    <x v="159"/>
    <x v="176"/>
    <x v="2"/>
    <x v="2"/>
    <x v="1"/>
    <x v="1"/>
    <x v="305"/>
    <x v="1"/>
    <x v="1"/>
    <x v="3"/>
  </r>
  <r>
    <x v="29"/>
    <x v="29"/>
    <x v="54"/>
    <x v="0"/>
    <x v="1"/>
    <x v="40"/>
    <x v="15"/>
    <x v="1"/>
    <x v="1"/>
    <x v="1"/>
    <x v="6"/>
    <x v="5"/>
    <x v="1"/>
    <x v="301"/>
    <x v="0"/>
    <x v="368"/>
    <x v="372"/>
    <x v="339"/>
    <x v="3"/>
    <x v="2"/>
    <x v="1"/>
    <x v="0"/>
    <x v="106"/>
    <x v="0"/>
    <x v="1"/>
    <x v="6"/>
  </r>
  <r>
    <x v="30"/>
    <x v="30"/>
    <x v="38"/>
    <x v="0"/>
    <x v="7"/>
    <x v="50"/>
    <x v="43"/>
    <x v="0"/>
    <x v="1"/>
    <x v="5"/>
    <x v="8"/>
    <x v="6"/>
    <x v="0"/>
    <x v="26"/>
    <x v="0"/>
    <x v="17"/>
    <x v="17"/>
    <x v="18"/>
    <x v="2"/>
    <x v="0"/>
    <x v="1"/>
    <x v="1"/>
    <x v="484"/>
    <x v="1"/>
    <x v="1"/>
    <x v="1"/>
  </r>
  <r>
    <x v="31"/>
    <x v="31"/>
    <x v="29"/>
    <x v="1"/>
    <x v="1"/>
    <x v="23"/>
    <x v="29"/>
    <x v="0"/>
    <x v="1"/>
    <x v="1"/>
    <x v="6"/>
    <x v="5"/>
    <x v="0"/>
    <x v="479"/>
    <x v="1"/>
    <x v="247"/>
    <x v="246"/>
    <x v="247"/>
    <x v="3"/>
    <x v="2"/>
    <x v="1"/>
    <x v="1"/>
    <x v="270"/>
    <x v="2"/>
    <x v="1"/>
    <x v="2"/>
  </r>
  <r>
    <x v="32"/>
    <x v="32"/>
    <x v="12"/>
    <x v="1"/>
    <x v="1"/>
    <x v="86"/>
    <x v="32"/>
    <x v="0"/>
    <x v="1"/>
    <x v="3"/>
    <x v="5"/>
    <x v="0"/>
    <x v="0"/>
    <x v="150"/>
    <x v="2"/>
    <x v="63"/>
    <x v="63"/>
    <x v="61"/>
    <x v="2"/>
    <x v="1"/>
    <x v="2"/>
    <x v="3"/>
    <x v="227"/>
    <x v="1"/>
    <x v="1"/>
    <x v="6"/>
  </r>
  <r>
    <x v="33"/>
    <x v="33"/>
    <x v="2"/>
    <x v="1"/>
    <x v="5"/>
    <x v="165"/>
    <x v="27"/>
    <x v="0"/>
    <x v="1"/>
    <x v="0"/>
    <x v="2"/>
    <x v="2"/>
    <x v="0"/>
    <x v="2"/>
    <x v="1"/>
    <x v="1"/>
    <x v="1"/>
    <x v="1"/>
    <x v="1"/>
    <x v="0"/>
    <x v="1"/>
    <x v="0"/>
    <x v="493"/>
    <x v="1"/>
    <x v="1"/>
    <x v="3"/>
  </r>
  <r>
    <x v="34"/>
    <x v="34"/>
    <x v="52"/>
    <x v="0"/>
    <x v="7"/>
    <x v="88"/>
    <x v="37"/>
    <x v="1"/>
    <x v="1"/>
    <x v="3"/>
    <x v="1"/>
    <x v="4"/>
    <x v="0"/>
    <x v="133"/>
    <x v="3"/>
    <x v="47"/>
    <x v="43"/>
    <x v="56"/>
    <x v="2"/>
    <x v="2"/>
    <x v="1"/>
    <x v="1"/>
    <x v="393"/>
    <x v="1"/>
    <x v="1"/>
    <x v="1"/>
  </r>
  <r>
    <x v="35"/>
    <x v="35"/>
    <x v="35"/>
    <x v="0"/>
    <x v="3"/>
    <x v="163"/>
    <x v="12"/>
    <x v="1"/>
    <x v="1"/>
    <x v="3"/>
    <x v="1"/>
    <x v="4"/>
    <x v="0"/>
    <x v="89"/>
    <x v="3"/>
    <x v="33"/>
    <x v="33"/>
    <x v="33"/>
    <x v="3"/>
    <x v="0"/>
    <x v="1"/>
    <x v="4"/>
    <x v="236"/>
    <x v="1"/>
    <x v="1"/>
    <x v="0"/>
  </r>
  <r>
    <x v="36"/>
    <x v="36"/>
    <x v="11"/>
    <x v="1"/>
    <x v="6"/>
    <x v="146"/>
    <x v="18"/>
    <x v="0"/>
    <x v="1"/>
    <x v="1"/>
    <x v="3"/>
    <x v="1"/>
    <x v="0"/>
    <x v="285"/>
    <x v="0"/>
    <x v="191"/>
    <x v="202"/>
    <x v="163"/>
    <x v="3"/>
    <x v="2"/>
    <x v="1"/>
    <x v="0"/>
    <x v="138"/>
    <x v="2"/>
    <x v="1"/>
    <x v="5"/>
  </r>
  <r>
    <x v="37"/>
    <x v="37"/>
    <x v="38"/>
    <x v="0"/>
    <x v="6"/>
    <x v="123"/>
    <x v="16"/>
    <x v="0"/>
    <x v="1"/>
    <x v="6"/>
    <x v="4"/>
    <x v="1"/>
    <x v="0"/>
    <x v="241"/>
    <x v="0"/>
    <x v="103"/>
    <x v="101"/>
    <x v="110"/>
    <x v="2"/>
    <x v="2"/>
    <x v="1"/>
    <x v="2"/>
    <x v="394"/>
    <x v="1"/>
    <x v="1"/>
    <x v="1"/>
  </r>
  <r>
    <x v="38"/>
    <x v="38"/>
    <x v="21"/>
    <x v="1"/>
    <x v="1"/>
    <x v="160"/>
    <x v="6"/>
    <x v="1"/>
    <x v="1"/>
    <x v="3"/>
    <x v="5"/>
    <x v="0"/>
    <x v="0"/>
    <x v="73"/>
    <x v="0"/>
    <x v="57"/>
    <x v="53"/>
    <x v="67"/>
    <x v="3"/>
    <x v="2"/>
    <x v="1"/>
    <x v="1"/>
    <x v="435"/>
    <x v="1"/>
    <x v="1"/>
    <x v="0"/>
  </r>
  <r>
    <x v="39"/>
    <x v="39"/>
    <x v="2"/>
    <x v="1"/>
    <x v="1"/>
    <x v="118"/>
    <x v="12"/>
    <x v="1"/>
    <x v="1"/>
    <x v="3"/>
    <x v="5"/>
    <x v="0"/>
    <x v="1"/>
    <x v="36"/>
    <x v="0"/>
    <x v="145"/>
    <x v="137"/>
    <x v="189"/>
    <x v="3"/>
    <x v="0"/>
    <x v="1"/>
    <x v="4"/>
    <x v="406"/>
    <x v="1"/>
    <x v="1"/>
    <x v="3"/>
  </r>
  <r>
    <x v="40"/>
    <x v="40"/>
    <x v="40"/>
    <x v="0"/>
    <x v="2"/>
    <x v="166"/>
    <x v="30"/>
    <x v="0"/>
    <x v="1"/>
    <x v="4"/>
    <x v="7"/>
    <x v="3"/>
    <x v="0"/>
    <x v="186"/>
    <x v="1"/>
    <x v="85"/>
    <x v="86"/>
    <x v="81"/>
    <x v="1"/>
    <x v="1"/>
    <x v="0"/>
    <x v="3"/>
    <x v="260"/>
    <x v="1"/>
    <x v="1"/>
    <x v="6"/>
  </r>
  <r>
    <x v="41"/>
    <x v="41"/>
    <x v="16"/>
    <x v="1"/>
    <x v="1"/>
    <x v="43"/>
    <x v="20"/>
    <x v="0"/>
    <x v="1"/>
    <x v="3"/>
    <x v="1"/>
    <x v="4"/>
    <x v="1"/>
    <x v="152"/>
    <x v="0"/>
    <x v="265"/>
    <x v="260"/>
    <x v="272"/>
    <x v="1"/>
    <x v="2"/>
    <x v="0"/>
    <x v="1"/>
    <x v="468"/>
    <x v="2"/>
    <x v="1"/>
    <x v="3"/>
  </r>
  <r>
    <x v="42"/>
    <x v="42"/>
    <x v="38"/>
    <x v="0"/>
    <x v="7"/>
    <x v="80"/>
    <x v="18"/>
    <x v="0"/>
    <x v="1"/>
    <x v="1"/>
    <x v="6"/>
    <x v="5"/>
    <x v="0"/>
    <x v="419"/>
    <x v="2"/>
    <x v="180"/>
    <x v="192"/>
    <x v="139"/>
    <x v="1"/>
    <x v="2"/>
    <x v="1"/>
    <x v="0"/>
    <x v="68"/>
    <x v="2"/>
    <x v="1"/>
    <x v="1"/>
  </r>
  <r>
    <x v="43"/>
    <x v="43"/>
    <x v="38"/>
    <x v="0"/>
    <x v="0"/>
    <x v="3"/>
    <x v="11"/>
    <x v="1"/>
    <x v="0"/>
    <x v="5"/>
    <x v="8"/>
    <x v="6"/>
    <x v="3"/>
    <x v="18"/>
    <x v="0"/>
    <x v="113"/>
    <x v="107"/>
    <x v="235"/>
    <x v="3"/>
    <x v="2"/>
    <x v="1"/>
    <x v="3"/>
    <x v="477"/>
    <x v="1"/>
    <x v="0"/>
    <x v="1"/>
  </r>
  <r>
    <x v="44"/>
    <x v="44"/>
    <x v="2"/>
    <x v="1"/>
    <x v="1"/>
    <x v="153"/>
    <x v="33"/>
    <x v="1"/>
    <x v="1"/>
    <x v="3"/>
    <x v="5"/>
    <x v="0"/>
    <x v="1"/>
    <x v="79"/>
    <x v="3"/>
    <x v="118"/>
    <x v="115"/>
    <x v="138"/>
    <x v="1"/>
    <x v="1"/>
    <x v="1"/>
    <x v="5"/>
    <x v="370"/>
    <x v="1"/>
    <x v="1"/>
    <x v="3"/>
  </r>
  <r>
    <x v="45"/>
    <x v="45"/>
    <x v="49"/>
    <x v="0"/>
    <x v="7"/>
    <x v="8"/>
    <x v="16"/>
    <x v="0"/>
    <x v="1"/>
    <x v="1"/>
    <x v="3"/>
    <x v="1"/>
    <x v="0"/>
    <x v="260"/>
    <x v="2"/>
    <x v="115"/>
    <x v="120"/>
    <x v="107"/>
    <x v="3"/>
    <x v="2"/>
    <x v="1"/>
    <x v="0"/>
    <x v="112"/>
    <x v="1"/>
    <x v="1"/>
    <x v="0"/>
  </r>
  <r>
    <x v="46"/>
    <x v="46"/>
    <x v="38"/>
    <x v="0"/>
    <x v="2"/>
    <x v="1"/>
    <x v="22"/>
    <x v="1"/>
    <x v="1"/>
    <x v="3"/>
    <x v="5"/>
    <x v="0"/>
    <x v="0"/>
    <x v="65"/>
    <x v="1"/>
    <x v="44"/>
    <x v="41"/>
    <x v="55"/>
    <x v="0"/>
    <x v="1"/>
    <x v="1"/>
    <x v="4"/>
    <x v="395"/>
    <x v="1"/>
    <x v="1"/>
    <x v="1"/>
  </r>
  <r>
    <x v="47"/>
    <x v="47"/>
    <x v="4"/>
    <x v="1"/>
    <x v="7"/>
    <x v="75"/>
    <x v="25"/>
    <x v="0"/>
    <x v="0"/>
    <x v="3"/>
    <x v="5"/>
    <x v="0"/>
    <x v="3"/>
    <x v="94"/>
    <x v="1"/>
    <x v="358"/>
    <x v="360"/>
    <x v="348"/>
    <x v="2"/>
    <x v="0"/>
    <x v="1"/>
    <x v="0"/>
    <x v="190"/>
    <x v="0"/>
    <x v="0"/>
    <x v="5"/>
  </r>
  <r>
    <x v="48"/>
    <x v="48"/>
    <x v="36"/>
    <x v="0"/>
    <x v="1"/>
    <x v="107"/>
    <x v="28"/>
    <x v="1"/>
    <x v="1"/>
    <x v="1"/>
    <x v="6"/>
    <x v="5"/>
    <x v="1"/>
    <x v="309"/>
    <x v="1"/>
    <x v="338"/>
    <x v="336"/>
    <x v="364"/>
    <x v="3"/>
    <x v="0"/>
    <x v="1"/>
    <x v="4"/>
    <x v="379"/>
    <x v="2"/>
    <x v="1"/>
    <x v="2"/>
  </r>
  <r>
    <x v="49"/>
    <x v="49"/>
    <x v="60"/>
    <x v="0"/>
    <x v="7"/>
    <x v="46"/>
    <x v="40"/>
    <x v="1"/>
    <x v="1"/>
    <x v="1"/>
    <x v="6"/>
    <x v="5"/>
    <x v="1"/>
    <x v="345"/>
    <x v="2"/>
    <x v="330"/>
    <x v="325"/>
    <x v="359"/>
    <x v="3"/>
    <x v="1"/>
    <x v="2"/>
    <x v="4"/>
    <x v="417"/>
    <x v="2"/>
    <x v="1"/>
    <x v="5"/>
  </r>
  <r>
    <x v="50"/>
    <x v="50"/>
    <x v="17"/>
    <x v="1"/>
    <x v="6"/>
    <x v="3"/>
    <x v="33"/>
    <x v="1"/>
    <x v="0"/>
    <x v="1"/>
    <x v="3"/>
    <x v="1"/>
    <x v="3"/>
    <x v="423"/>
    <x v="1"/>
    <x v="468"/>
    <x v="466"/>
    <x v="479"/>
    <x v="3"/>
    <x v="2"/>
    <x v="1"/>
    <x v="5"/>
    <x v="464"/>
    <x v="0"/>
    <x v="0"/>
    <x v="1"/>
  </r>
  <r>
    <x v="51"/>
    <x v="51"/>
    <x v="53"/>
    <x v="0"/>
    <x v="2"/>
    <x v="81"/>
    <x v="13"/>
    <x v="0"/>
    <x v="1"/>
    <x v="3"/>
    <x v="5"/>
    <x v="0"/>
    <x v="1"/>
    <x v="49"/>
    <x v="1"/>
    <x v="142"/>
    <x v="146"/>
    <x v="127"/>
    <x v="3"/>
    <x v="2"/>
    <x v="1"/>
    <x v="3"/>
    <x v="132"/>
    <x v="1"/>
    <x v="1"/>
    <x v="5"/>
  </r>
  <r>
    <x v="52"/>
    <x v="52"/>
    <x v="37"/>
    <x v="0"/>
    <x v="2"/>
    <x v="90"/>
    <x v="31"/>
    <x v="0"/>
    <x v="1"/>
    <x v="1"/>
    <x v="6"/>
    <x v="5"/>
    <x v="0"/>
    <x v="456"/>
    <x v="3"/>
    <x v="164"/>
    <x v="153"/>
    <x v="219"/>
    <x v="3"/>
    <x v="2"/>
    <x v="2"/>
    <x v="3"/>
    <x v="451"/>
    <x v="1"/>
    <x v="1"/>
    <x v="3"/>
  </r>
  <r>
    <x v="53"/>
    <x v="53"/>
    <x v="56"/>
    <x v="0"/>
    <x v="3"/>
    <x v="1"/>
    <x v="16"/>
    <x v="0"/>
    <x v="1"/>
    <x v="4"/>
    <x v="7"/>
    <x v="3"/>
    <x v="0"/>
    <x v="170"/>
    <x v="2"/>
    <x v="71"/>
    <x v="71"/>
    <x v="57"/>
    <x v="3"/>
    <x v="1"/>
    <x v="1"/>
    <x v="3"/>
    <x v="102"/>
    <x v="1"/>
    <x v="1"/>
    <x v="0"/>
  </r>
  <r>
    <x v="54"/>
    <x v="54"/>
    <x v="41"/>
    <x v="0"/>
    <x v="2"/>
    <x v="92"/>
    <x v="32"/>
    <x v="0"/>
    <x v="1"/>
    <x v="2"/>
    <x v="0"/>
    <x v="2"/>
    <x v="0"/>
    <x v="9"/>
    <x v="1"/>
    <x v="4"/>
    <x v="4"/>
    <x v="5"/>
    <x v="3"/>
    <x v="2"/>
    <x v="1"/>
    <x v="0"/>
    <x v="496"/>
    <x v="1"/>
    <x v="1"/>
    <x v="4"/>
  </r>
  <r>
    <x v="55"/>
    <x v="55"/>
    <x v="59"/>
    <x v="0"/>
    <x v="4"/>
    <x v="46"/>
    <x v="0"/>
    <x v="1"/>
    <x v="1"/>
    <x v="3"/>
    <x v="5"/>
    <x v="0"/>
    <x v="0"/>
    <x v="52"/>
    <x v="0"/>
    <x v="51"/>
    <x v="46"/>
    <x v="58"/>
    <x v="2"/>
    <x v="2"/>
    <x v="1"/>
    <x v="2"/>
    <x v="372"/>
    <x v="1"/>
    <x v="1"/>
    <x v="1"/>
  </r>
  <r>
    <x v="56"/>
    <x v="56"/>
    <x v="50"/>
    <x v="0"/>
    <x v="7"/>
    <x v="113"/>
    <x v="25"/>
    <x v="0"/>
    <x v="1"/>
    <x v="1"/>
    <x v="6"/>
    <x v="5"/>
    <x v="1"/>
    <x v="480"/>
    <x v="1"/>
    <x v="395"/>
    <x v="398"/>
    <x v="366"/>
    <x v="3"/>
    <x v="1"/>
    <x v="1"/>
    <x v="2"/>
    <x v="76"/>
    <x v="0"/>
    <x v="1"/>
    <x v="2"/>
  </r>
  <r>
    <x v="57"/>
    <x v="57"/>
    <x v="54"/>
    <x v="0"/>
    <x v="0"/>
    <x v="25"/>
    <x v="28"/>
    <x v="1"/>
    <x v="1"/>
    <x v="1"/>
    <x v="6"/>
    <x v="5"/>
    <x v="1"/>
    <x v="459"/>
    <x v="3"/>
    <x v="339"/>
    <x v="355"/>
    <x v="326"/>
    <x v="2"/>
    <x v="0"/>
    <x v="1"/>
    <x v="5"/>
    <x v="51"/>
    <x v="2"/>
    <x v="1"/>
    <x v="6"/>
  </r>
  <r>
    <x v="58"/>
    <x v="58"/>
    <x v="17"/>
    <x v="1"/>
    <x v="7"/>
    <x v="105"/>
    <x v="14"/>
    <x v="1"/>
    <x v="1"/>
    <x v="6"/>
    <x v="4"/>
    <x v="1"/>
    <x v="0"/>
    <x v="250"/>
    <x v="0"/>
    <x v="114"/>
    <x v="117"/>
    <x v="108"/>
    <x v="3"/>
    <x v="2"/>
    <x v="1"/>
    <x v="2"/>
    <x v="142"/>
    <x v="1"/>
    <x v="1"/>
    <x v="1"/>
  </r>
  <r>
    <x v="59"/>
    <x v="59"/>
    <x v="19"/>
    <x v="1"/>
    <x v="0"/>
    <x v="157"/>
    <x v="26"/>
    <x v="0"/>
    <x v="1"/>
    <x v="1"/>
    <x v="6"/>
    <x v="5"/>
    <x v="0"/>
    <x v="431"/>
    <x v="0"/>
    <x v="248"/>
    <x v="247"/>
    <x v="241"/>
    <x v="2"/>
    <x v="2"/>
    <x v="1"/>
    <x v="1"/>
    <x v="229"/>
    <x v="2"/>
    <x v="1"/>
    <x v="6"/>
  </r>
  <r>
    <x v="60"/>
    <x v="60"/>
    <x v="12"/>
    <x v="1"/>
    <x v="1"/>
    <x v="39"/>
    <x v="41"/>
    <x v="1"/>
    <x v="0"/>
    <x v="1"/>
    <x v="6"/>
    <x v="5"/>
    <x v="4"/>
    <x v="458"/>
    <x v="1"/>
    <x v="495"/>
    <x v="496"/>
    <x v="497"/>
    <x v="1"/>
    <x v="2"/>
    <x v="1"/>
    <x v="5"/>
    <x v="201"/>
    <x v="0"/>
    <x v="0"/>
    <x v="6"/>
  </r>
  <r>
    <x v="61"/>
    <x v="61"/>
    <x v="4"/>
    <x v="1"/>
    <x v="1"/>
    <x v="146"/>
    <x v="15"/>
    <x v="1"/>
    <x v="0"/>
    <x v="3"/>
    <x v="1"/>
    <x v="4"/>
    <x v="4"/>
    <x v="110"/>
    <x v="2"/>
    <x v="410"/>
    <x v="411"/>
    <x v="410"/>
    <x v="3"/>
    <x v="0"/>
    <x v="1"/>
    <x v="4"/>
    <x v="242"/>
    <x v="0"/>
    <x v="0"/>
    <x v="5"/>
  </r>
  <r>
    <x v="62"/>
    <x v="62"/>
    <x v="57"/>
    <x v="0"/>
    <x v="7"/>
    <x v="67"/>
    <x v="9"/>
    <x v="1"/>
    <x v="1"/>
    <x v="4"/>
    <x v="7"/>
    <x v="3"/>
    <x v="0"/>
    <x v="182"/>
    <x v="2"/>
    <x v="74"/>
    <x v="75"/>
    <x v="79"/>
    <x v="0"/>
    <x v="2"/>
    <x v="1"/>
    <x v="2"/>
    <x v="328"/>
    <x v="1"/>
    <x v="1"/>
    <x v="2"/>
  </r>
  <r>
    <x v="63"/>
    <x v="63"/>
    <x v="19"/>
    <x v="1"/>
    <x v="4"/>
    <x v="81"/>
    <x v="41"/>
    <x v="1"/>
    <x v="1"/>
    <x v="1"/>
    <x v="6"/>
    <x v="5"/>
    <x v="1"/>
    <x v="374"/>
    <x v="1"/>
    <x v="363"/>
    <x v="358"/>
    <x v="369"/>
    <x v="3"/>
    <x v="2"/>
    <x v="1"/>
    <x v="4"/>
    <x v="307"/>
    <x v="0"/>
    <x v="1"/>
    <x v="6"/>
  </r>
  <r>
    <x v="64"/>
    <x v="64"/>
    <x v="37"/>
    <x v="0"/>
    <x v="0"/>
    <x v="30"/>
    <x v="2"/>
    <x v="1"/>
    <x v="0"/>
    <x v="1"/>
    <x v="6"/>
    <x v="5"/>
    <x v="2"/>
    <x v="349"/>
    <x v="3"/>
    <x v="422"/>
    <x v="424"/>
    <x v="418"/>
    <x v="3"/>
    <x v="2"/>
    <x v="2"/>
    <x v="1"/>
    <x v="207"/>
    <x v="0"/>
    <x v="0"/>
    <x v="3"/>
  </r>
  <r>
    <x v="65"/>
    <x v="65"/>
    <x v="2"/>
    <x v="1"/>
    <x v="2"/>
    <x v="31"/>
    <x v="35"/>
    <x v="0"/>
    <x v="1"/>
    <x v="3"/>
    <x v="1"/>
    <x v="4"/>
    <x v="0"/>
    <x v="102"/>
    <x v="2"/>
    <x v="48"/>
    <x v="51"/>
    <x v="34"/>
    <x v="2"/>
    <x v="2"/>
    <x v="1"/>
    <x v="5"/>
    <x v="87"/>
    <x v="1"/>
    <x v="1"/>
    <x v="3"/>
  </r>
  <r>
    <x v="66"/>
    <x v="66"/>
    <x v="12"/>
    <x v="1"/>
    <x v="0"/>
    <x v="150"/>
    <x v="43"/>
    <x v="0"/>
    <x v="1"/>
    <x v="3"/>
    <x v="1"/>
    <x v="4"/>
    <x v="1"/>
    <x v="104"/>
    <x v="1"/>
    <x v="210"/>
    <x v="203"/>
    <x v="210"/>
    <x v="1"/>
    <x v="2"/>
    <x v="1"/>
    <x v="0"/>
    <x v="277"/>
    <x v="2"/>
    <x v="1"/>
    <x v="6"/>
  </r>
  <r>
    <x v="67"/>
    <x v="67"/>
    <x v="40"/>
    <x v="0"/>
    <x v="2"/>
    <x v="65"/>
    <x v="18"/>
    <x v="0"/>
    <x v="0"/>
    <x v="4"/>
    <x v="7"/>
    <x v="3"/>
    <x v="3"/>
    <x v="224"/>
    <x v="0"/>
    <x v="438"/>
    <x v="436"/>
    <x v="444"/>
    <x v="3"/>
    <x v="2"/>
    <x v="1"/>
    <x v="4"/>
    <x v="347"/>
    <x v="0"/>
    <x v="0"/>
    <x v="6"/>
  </r>
  <r>
    <x v="68"/>
    <x v="68"/>
    <x v="57"/>
    <x v="0"/>
    <x v="4"/>
    <x v="103"/>
    <x v="31"/>
    <x v="0"/>
    <x v="1"/>
    <x v="1"/>
    <x v="6"/>
    <x v="5"/>
    <x v="1"/>
    <x v="331"/>
    <x v="1"/>
    <x v="348"/>
    <x v="345"/>
    <x v="365"/>
    <x v="2"/>
    <x v="1"/>
    <x v="1"/>
    <x v="4"/>
    <x v="344"/>
    <x v="0"/>
    <x v="1"/>
    <x v="2"/>
  </r>
  <r>
    <x v="69"/>
    <x v="69"/>
    <x v="0"/>
    <x v="1"/>
    <x v="4"/>
    <x v="19"/>
    <x v="24"/>
    <x v="1"/>
    <x v="1"/>
    <x v="4"/>
    <x v="7"/>
    <x v="3"/>
    <x v="1"/>
    <x v="228"/>
    <x v="2"/>
    <x v="282"/>
    <x v="282"/>
    <x v="275"/>
    <x v="2"/>
    <x v="1"/>
    <x v="1"/>
    <x v="5"/>
    <x v="130"/>
    <x v="2"/>
    <x v="1"/>
    <x v="0"/>
  </r>
  <r>
    <x v="70"/>
    <x v="70"/>
    <x v="20"/>
    <x v="1"/>
    <x v="1"/>
    <x v="83"/>
    <x v="45"/>
    <x v="0"/>
    <x v="1"/>
    <x v="3"/>
    <x v="5"/>
    <x v="0"/>
    <x v="1"/>
    <x v="108"/>
    <x v="1"/>
    <x v="213"/>
    <x v="193"/>
    <x v="244"/>
    <x v="3"/>
    <x v="1"/>
    <x v="1"/>
    <x v="0"/>
    <x v="433"/>
    <x v="2"/>
    <x v="1"/>
    <x v="4"/>
  </r>
  <r>
    <x v="71"/>
    <x v="71"/>
    <x v="6"/>
    <x v="1"/>
    <x v="1"/>
    <x v="38"/>
    <x v="30"/>
    <x v="0"/>
    <x v="0"/>
    <x v="1"/>
    <x v="6"/>
    <x v="5"/>
    <x v="4"/>
    <x v="289"/>
    <x v="1"/>
    <x v="483"/>
    <x v="484"/>
    <x v="486"/>
    <x v="3"/>
    <x v="1"/>
    <x v="1"/>
    <x v="4"/>
    <x v="222"/>
    <x v="0"/>
    <x v="0"/>
    <x v="4"/>
  </r>
  <r>
    <x v="72"/>
    <x v="72"/>
    <x v="45"/>
    <x v="0"/>
    <x v="0"/>
    <x v="3"/>
    <x v="32"/>
    <x v="0"/>
    <x v="0"/>
    <x v="1"/>
    <x v="6"/>
    <x v="5"/>
    <x v="3"/>
    <x v="324"/>
    <x v="1"/>
    <x v="462"/>
    <x v="461"/>
    <x v="467"/>
    <x v="1"/>
    <x v="1"/>
    <x v="1"/>
    <x v="2"/>
    <x v="385"/>
    <x v="0"/>
    <x v="0"/>
    <x v="1"/>
  </r>
  <r>
    <x v="73"/>
    <x v="73"/>
    <x v="56"/>
    <x v="0"/>
    <x v="4"/>
    <x v="51"/>
    <x v="36"/>
    <x v="0"/>
    <x v="1"/>
    <x v="1"/>
    <x v="6"/>
    <x v="5"/>
    <x v="0"/>
    <x v="412"/>
    <x v="2"/>
    <x v="175"/>
    <x v="163"/>
    <x v="223"/>
    <x v="3"/>
    <x v="1"/>
    <x v="1"/>
    <x v="0"/>
    <x v="427"/>
    <x v="2"/>
    <x v="1"/>
    <x v="0"/>
  </r>
  <r>
    <x v="74"/>
    <x v="74"/>
    <x v="0"/>
    <x v="1"/>
    <x v="7"/>
    <x v="93"/>
    <x v="24"/>
    <x v="1"/>
    <x v="1"/>
    <x v="1"/>
    <x v="6"/>
    <x v="5"/>
    <x v="0"/>
    <x v="476"/>
    <x v="0"/>
    <x v="262"/>
    <x v="264"/>
    <x v="248"/>
    <x v="1"/>
    <x v="2"/>
    <x v="1"/>
    <x v="5"/>
    <x v="175"/>
    <x v="2"/>
    <x v="1"/>
    <x v="0"/>
  </r>
  <r>
    <x v="75"/>
    <x v="75"/>
    <x v="15"/>
    <x v="1"/>
    <x v="4"/>
    <x v="25"/>
    <x v="46"/>
    <x v="1"/>
    <x v="1"/>
    <x v="1"/>
    <x v="6"/>
    <x v="5"/>
    <x v="1"/>
    <x v="453"/>
    <x v="0"/>
    <x v="403"/>
    <x v="397"/>
    <x v="407"/>
    <x v="3"/>
    <x v="2"/>
    <x v="1"/>
    <x v="0"/>
    <x v="355"/>
    <x v="0"/>
    <x v="1"/>
    <x v="2"/>
  </r>
  <r>
    <x v="76"/>
    <x v="76"/>
    <x v="7"/>
    <x v="1"/>
    <x v="7"/>
    <x v="141"/>
    <x v="35"/>
    <x v="0"/>
    <x v="1"/>
    <x v="0"/>
    <x v="2"/>
    <x v="2"/>
    <x v="1"/>
    <x v="3"/>
    <x v="2"/>
    <x v="7"/>
    <x v="7"/>
    <x v="12"/>
    <x v="2"/>
    <x v="2"/>
    <x v="1"/>
    <x v="0"/>
    <x v="494"/>
    <x v="1"/>
    <x v="1"/>
    <x v="0"/>
  </r>
  <r>
    <x v="77"/>
    <x v="77"/>
    <x v="35"/>
    <x v="0"/>
    <x v="4"/>
    <x v="48"/>
    <x v="25"/>
    <x v="0"/>
    <x v="1"/>
    <x v="1"/>
    <x v="6"/>
    <x v="5"/>
    <x v="1"/>
    <x v="461"/>
    <x v="2"/>
    <x v="371"/>
    <x v="368"/>
    <x v="367"/>
    <x v="2"/>
    <x v="1"/>
    <x v="1"/>
    <x v="2"/>
    <x v="245"/>
    <x v="0"/>
    <x v="1"/>
    <x v="0"/>
  </r>
  <r>
    <x v="78"/>
    <x v="78"/>
    <x v="20"/>
    <x v="1"/>
    <x v="7"/>
    <x v="130"/>
    <x v="25"/>
    <x v="0"/>
    <x v="1"/>
    <x v="3"/>
    <x v="1"/>
    <x v="4"/>
    <x v="1"/>
    <x v="137"/>
    <x v="2"/>
    <x v="211"/>
    <x v="219"/>
    <x v="174"/>
    <x v="3"/>
    <x v="1"/>
    <x v="1"/>
    <x v="2"/>
    <x v="128"/>
    <x v="2"/>
    <x v="1"/>
    <x v="4"/>
  </r>
  <r>
    <x v="79"/>
    <x v="79"/>
    <x v="16"/>
    <x v="1"/>
    <x v="4"/>
    <x v="149"/>
    <x v="11"/>
    <x v="1"/>
    <x v="1"/>
    <x v="6"/>
    <x v="4"/>
    <x v="1"/>
    <x v="1"/>
    <x v="222"/>
    <x v="0"/>
    <x v="291"/>
    <x v="294"/>
    <x v="283"/>
    <x v="1"/>
    <x v="1"/>
    <x v="1"/>
    <x v="0"/>
    <x v="111"/>
    <x v="2"/>
    <x v="1"/>
    <x v="3"/>
  </r>
  <r>
    <x v="80"/>
    <x v="80"/>
    <x v="23"/>
    <x v="1"/>
    <x v="7"/>
    <x v="87"/>
    <x v="47"/>
    <x v="1"/>
    <x v="1"/>
    <x v="1"/>
    <x v="6"/>
    <x v="5"/>
    <x v="1"/>
    <x v="310"/>
    <x v="3"/>
    <x v="314"/>
    <x v="310"/>
    <x v="332"/>
    <x v="1"/>
    <x v="0"/>
    <x v="1"/>
    <x v="1"/>
    <x v="426"/>
    <x v="2"/>
    <x v="1"/>
    <x v="3"/>
  </r>
  <r>
    <x v="81"/>
    <x v="81"/>
    <x v="11"/>
    <x v="1"/>
    <x v="4"/>
    <x v="63"/>
    <x v="33"/>
    <x v="1"/>
    <x v="1"/>
    <x v="3"/>
    <x v="1"/>
    <x v="4"/>
    <x v="0"/>
    <x v="136"/>
    <x v="2"/>
    <x v="60"/>
    <x v="62"/>
    <x v="41"/>
    <x v="2"/>
    <x v="2"/>
    <x v="1"/>
    <x v="4"/>
    <x v="12"/>
    <x v="1"/>
    <x v="1"/>
    <x v="5"/>
  </r>
  <r>
    <x v="82"/>
    <x v="82"/>
    <x v="50"/>
    <x v="0"/>
    <x v="2"/>
    <x v="32"/>
    <x v="24"/>
    <x v="1"/>
    <x v="0"/>
    <x v="1"/>
    <x v="3"/>
    <x v="1"/>
    <x v="3"/>
    <x v="303"/>
    <x v="2"/>
    <x v="453"/>
    <x v="453"/>
    <x v="454"/>
    <x v="2"/>
    <x v="2"/>
    <x v="1"/>
    <x v="2"/>
    <x v="223"/>
    <x v="0"/>
    <x v="0"/>
    <x v="2"/>
  </r>
  <r>
    <x v="83"/>
    <x v="83"/>
    <x v="4"/>
    <x v="1"/>
    <x v="1"/>
    <x v="98"/>
    <x v="32"/>
    <x v="0"/>
    <x v="1"/>
    <x v="3"/>
    <x v="1"/>
    <x v="4"/>
    <x v="1"/>
    <x v="101"/>
    <x v="3"/>
    <x v="128"/>
    <x v="133"/>
    <x v="133"/>
    <x v="2"/>
    <x v="2"/>
    <x v="1"/>
    <x v="0"/>
    <x v="203"/>
    <x v="1"/>
    <x v="1"/>
    <x v="5"/>
  </r>
  <r>
    <x v="84"/>
    <x v="84"/>
    <x v="16"/>
    <x v="1"/>
    <x v="0"/>
    <x v="65"/>
    <x v="0"/>
    <x v="1"/>
    <x v="1"/>
    <x v="3"/>
    <x v="1"/>
    <x v="4"/>
    <x v="1"/>
    <x v="129"/>
    <x v="2"/>
    <x v="209"/>
    <x v="212"/>
    <x v="183"/>
    <x v="2"/>
    <x v="1"/>
    <x v="2"/>
    <x v="0"/>
    <x v="172"/>
    <x v="2"/>
    <x v="1"/>
    <x v="3"/>
  </r>
  <r>
    <x v="85"/>
    <x v="85"/>
    <x v="11"/>
    <x v="1"/>
    <x v="1"/>
    <x v="91"/>
    <x v="27"/>
    <x v="0"/>
    <x v="1"/>
    <x v="1"/>
    <x v="3"/>
    <x v="1"/>
    <x v="1"/>
    <x v="350"/>
    <x v="0"/>
    <x v="375"/>
    <x v="367"/>
    <x v="395"/>
    <x v="1"/>
    <x v="1"/>
    <x v="1"/>
    <x v="2"/>
    <x v="429"/>
    <x v="0"/>
    <x v="1"/>
    <x v="5"/>
  </r>
  <r>
    <x v="86"/>
    <x v="86"/>
    <x v="59"/>
    <x v="0"/>
    <x v="2"/>
    <x v="21"/>
    <x v="24"/>
    <x v="1"/>
    <x v="1"/>
    <x v="1"/>
    <x v="3"/>
    <x v="1"/>
    <x v="1"/>
    <x v="316"/>
    <x v="2"/>
    <x v="326"/>
    <x v="328"/>
    <x v="321"/>
    <x v="3"/>
    <x v="1"/>
    <x v="1"/>
    <x v="3"/>
    <x v="134"/>
    <x v="2"/>
    <x v="1"/>
    <x v="1"/>
  </r>
  <r>
    <x v="87"/>
    <x v="87"/>
    <x v="15"/>
    <x v="1"/>
    <x v="3"/>
    <x v="136"/>
    <x v="25"/>
    <x v="0"/>
    <x v="0"/>
    <x v="3"/>
    <x v="1"/>
    <x v="4"/>
    <x v="4"/>
    <x v="56"/>
    <x v="0"/>
    <x v="412"/>
    <x v="409"/>
    <x v="421"/>
    <x v="2"/>
    <x v="1"/>
    <x v="2"/>
    <x v="0"/>
    <x v="442"/>
    <x v="0"/>
    <x v="0"/>
    <x v="2"/>
  </r>
  <r>
    <x v="88"/>
    <x v="88"/>
    <x v="28"/>
    <x v="1"/>
    <x v="2"/>
    <x v="79"/>
    <x v="19"/>
    <x v="0"/>
    <x v="0"/>
    <x v="1"/>
    <x v="6"/>
    <x v="5"/>
    <x v="3"/>
    <x v="398"/>
    <x v="3"/>
    <x v="454"/>
    <x v="455"/>
    <x v="451"/>
    <x v="3"/>
    <x v="1"/>
    <x v="1"/>
    <x v="0"/>
    <x v="117"/>
    <x v="0"/>
    <x v="0"/>
    <x v="0"/>
  </r>
  <r>
    <x v="89"/>
    <x v="89"/>
    <x v="48"/>
    <x v="0"/>
    <x v="1"/>
    <x v="155"/>
    <x v="45"/>
    <x v="0"/>
    <x v="1"/>
    <x v="6"/>
    <x v="4"/>
    <x v="1"/>
    <x v="0"/>
    <x v="223"/>
    <x v="3"/>
    <x v="88"/>
    <x v="88"/>
    <x v="78"/>
    <x v="1"/>
    <x v="2"/>
    <x v="1"/>
    <x v="2"/>
    <x v="97"/>
    <x v="1"/>
    <x v="1"/>
    <x v="4"/>
  </r>
  <r>
    <x v="90"/>
    <x v="90"/>
    <x v="34"/>
    <x v="0"/>
    <x v="1"/>
    <x v="25"/>
    <x v="49"/>
    <x v="1"/>
    <x v="1"/>
    <x v="1"/>
    <x v="6"/>
    <x v="5"/>
    <x v="1"/>
    <x v="334"/>
    <x v="2"/>
    <x v="327"/>
    <x v="337"/>
    <x v="308"/>
    <x v="3"/>
    <x v="2"/>
    <x v="0"/>
    <x v="5"/>
    <x v="1"/>
    <x v="2"/>
    <x v="1"/>
    <x v="4"/>
  </r>
  <r>
    <x v="91"/>
    <x v="91"/>
    <x v="3"/>
    <x v="1"/>
    <x v="1"/>
    <x v="123"/>
    <x v="28"/>
    <x v="1"/>
    <x v="1"/>
    <x v="1"/>
    <x v="3"/>
    <x v="1"/>
    <x v="0"/>
    <x v="377"/>
    <x v="0"/>
    <x v="233"/>
    <x v="224"/>
    <x v="252"/>
    <x v="3"/>
    <x v="2"/>
    <x v="1"/>
    <x v="4"/>
    <x v="410"/>
    <x v="2"/>
    <x v="1"/>
    <x v="1"/>
  </r>
  <r>
    <x v="92"/>
    <x v="92"/>
    <x v="22"/>
    <x v="1"/>
    <x v="0"/>
    <x v="8"/>
    <x v="26"/>
    <x v="0"/>
    <x v="1"/>
    <x v="1"/>
    <x v="6"/>
    <x v="5"/>
    <x v="1"/>
    <x v="353"/>
    <x v="3"/>
    <x v="320"/>
    <x v="319"/>
    <x v="323"/>
    <x v="1"/>
    <x v="2"/>
    <x v="1"/>
    <x v="3"/>
    <x v="213"/>
    <x v="2"/>
    <x v="1"/>
    <x v="2"/>
  </r>
  <r>
    <x v="93"/>
    <x v="93"/>
    <x v="19"/>
    <x v="1"/>
    <x v="0"/>
    <x v="75"/>
    <x v="34"/>
    <x v="0"/>
    <x v="0"/>
    <x v="1"/>
    <x v="6"/>
    <x v="5"/>
    <x v="4"/>
    <x v="391"/>
    <x v="0"/>
    <x v="494"/>
    <x v="494"/>
    <x v="494"/>
    <x v="2"/>
    <x v="2"/>
    <x v="1"/>
    <x v="5"/>
    <x v="153"/>
    <x v="0"/>
    <x v="0"/>
    <x v="6"/>
  </r>
  <r>
    <x v="94"/>
    <x v="94"/>
    <x v="23"/>
    <x v="1"/>
    <x v="1"/>
    <x v="97"/>
    <x v="41"/>
    <x v="1"/>
    <x v="0"/>
    <x v="6"/>
    <x v="4"/>
    <x v="1"/>
    <x v="4"/>
    <x v="251"/>
    <x v="2"/>
    <x v="461"/>
    <x v="458"/>
    <x v="470"/>
    <x v="3"/>
    <x v="2"/>
    <x v="1"/>
    <x v="2"/>
    <x v="463"/>
    <x v="0"/>
    <x v="0"/>
    <x v="3"/>
  </r>
  <r>
    <x v="95"/>
    <x v="95"/>
    <x v="18"/>
    <x v="1"/>
    <x v="7"/>
    <x v="81"/>
    <x v="9"/>
    <x v="1"/>
    <x v="1"/>
    <x v="1"/>
    <x v="3"/>
    <x v="1"/>
    <x v="0"/>
    <x v="381"/>
    <x v="2"/>
    <x v="157"/>
    <x v="154"/>
    <x v="205"/>
    <x v="0"/>
    <x v="0"/>
    <x v="1"/>
    <x v="0"/>
    <x v="407"/>
    <x v="1"/>
    <x v="1"/>
    <x v="5"/>
  </r>
  <r>
    <x v="96"/>
    <x v="96"/>
    <x v="33"/>
    <x v="0"/>
    <x v="2"/>
    <x v="127"/>
    <x v="35"/>
    <x v="0"/>
    <x v="0"/>
    <x v="4"/>
    <x v="7"/>
    <x v="3"/>
    <x v="4"/>
    <x v="176"/>
    <x v="2"/>
    <x v="429"/>
    <x v="429"/>
    <x v="432"/>
    <x v="3"/>
    <x v="2"/>
    <x v="2"/>
    <x v="0"/>
    <x v="303"/>
    <x v="0"/>
    <x v="0"/>
    <x v="6"/>
  </r>
  <r>
    <x v="97"/>
    <x v="97"/>
    <x v="57"/>
    <x v="0"/>
    <x v="7"/>
    <x v="161"/>
    <x v="0"/>
    <x v="1"/>
    <x v="1"/>
    <x v="1"/>
    <x v="6"/>
    <x v="5"/>
    <x v="0"/>
    <x v="429"/>
    <x v="1"/>
    <x v="228"/>
    <x v="234"/>
    <x v="173"/>
    <x v="1"/>
    <x v="1"/>
    <x v="1"/>
    <x v="2"/>
    <x v="56"/>
    <x v="2"/>
    <x v="1"/>
    <x v="2"/>
  </r>
  <r>
    <x v="98"/>
    <x v="98"/>
    <x v="50"/>
    <x v="0"/>
    <x v="1"/>
    <x v="25"/>
    <x v="38"/>
    <x v="1"/>
    <x v="1"/>
    <x v="3"/>
    <x v="1"/>
    <x v="4"/>
    <x v="1"/>
    <x v="98"/>
    <x v="1"/>
    <x v="201"/>
    <x v="195"/>
    <x v="206"/>
    <x v="3"/>
    <x v="1"/>
    <x v="1"/>
    <x v="2"/>
    <x v="280"/>
    <x v="2"/>
    <x v="1"/>
    <x v="2"/>
  </r>
  <r>
    <x v="99"/>
    <x v="99"/>
    <x v="24"/>
    <x v="1"/>
    <x v="2"/>
    <x v="54"/>
    <x v="29"/>
    <x v="0"/>
    <x v="1"/>
    <x v="3"/>
    <x v="5"/>
    <x v="0"/>
    <x v="0"/>
    <x v="88"/>
    <x v="1"/>
    <x v="53"/>
    <x v="54"/>
    <x v="48"/>
    <x v="3"/>
    <x v="0"/>
    <x v="1"/>
    <x v="0"/>
    <x v="158"/>
    <x v="1"/>
    <x v="1"/>
    <x v="1"/>
  </r>
  <r>
    <x v="100"/>
    <x v="100"/>
    <x v="56"/>
    <x v="0"/>
    <x v="2"/>
    <x v="24"/>
    <x v="42"/>
    <x v="0"/>
    <x v="0"/>
    <x v="1"/>
    <x v="3"/>
    <x v="1"/>
    <x v="2"/>
    <x v="414"/>
    <x v="0"/>
    <x v="449"/>
    <x v="448"/>
    <x v="446"/>
    <x v="3"/>
    <x v="2"/>
    <x v="1"/>
    <x v="4"/>
    <x v="196"/>
    <x v="0"/>
    <x v="0"/>
    <x v="0"/>
  </r>
  <r>
    <x v="101"/>
    <x v="101"/>
    <x v="10"/>
    <x v="1"/>
    <x v="7"/>
    <x v="57"/>
    <x v="49"/>
    <x v="1"/>
    <x v="1"/>
    <x v="1"/>
    <x v="6"/>
    <x v="5"/>
    <x v="0"/>
    <x v="367"/>
    <x v="0"/>
    <x v="231"/>
    <x v="222"/>
    <x v="249"/>
    <x v="1"/>
    <x v="2"/>
    <x v="1"/>
    <x v="3"/>
    <x v="400"/>
    <x v="2"/>
    <x v="1"/>
    <x v="1"/>
  </r>
  <r>
    <x v="102"/>
    <x v="102"/>
    <x v="43"/>
    <x v="0"/>
    <x v="2"/>
    <x v="103"/>
    <x v="35"/>
    <x v="0"/>
    <x v="0"/>
    <x v="1"/>
    <x v="3"/>
    <x v="1"/>
    <x v="4"/>
    <x v="390"/>
    <x v="3"/>
    <x v="481"/>
    <x v="480"/>
    <x v="471"/>
    <x v="2"/>
    <x v="2"/>
    <x v="1"/>
    <x v="0"/>
    <x v="79"/>
    <x v="0"/>
    <x v="0"/>
    <x v="2"/>
  </r>
  <r>
    <x v="103"/>
    <x v="103"/>
    <x v="19"/>
    <x v="1"/>
    <x v="7"/>
    <x v="149"/>
    <x v="2"/>
    <x v="1"/>
    <x v="0"/>
    <x v="3"/>
    <x v="5"/>
    <x v="0"/>
    <x v="4"/>
    <x v="75"/>
    <x v="0"/>
    <x v="414"/>
    <x v="414"/>
    <x v="413"/>
    <x v="2"/>
    <x v="1"/>
    <x v="1"/>
    <x v="4"/>
    <x v="209"/>
    <x v="0"/>
    <x v="0"/>
    <x v="6"/>
  </r>
  <r>
    <x v="104"/>
    <x v="104"/>
    <x v="7"/>
    <x v="1"/>
    <x v="2"/>
    <x v="133"/>
    <x v="49"/>
    <x v="1"/>
    <x v="1"/>
    <x v="1"/>
    <x v="3"/>
    <x v="1"/>
    <x v="0"/>
    <x v="388"/>
    <x v="0"/>
    <x v="236"/>
    <x v="230"/>
    <x v="245"/>
    <x v="2"/>
    <x v="1"/>
    <x v="1"/>
    <x v="5"/>
    <x v="350"/>
    <x v="2"/>
    <x v="1"/>
    <x v="0"/>
  </r>
  <r>
    <x v="105"/>
    <x v="105"/>
    <x v="30"/>
    <x v="1"/>
    <x v="2"/>
    <x v="157"/>
    <x v="48"/>
    <x v="1"/>
    <x v="0"/>
    <x v="1"/>
    <x v="6"/>
    <x v="5"/>
    <x v="2"/>
    <x v="454"/>
    <x v="0"/>
    <x v="451"/>
    <x v="451"/>
    <x v="448"/>
    <x v="3"/>
    <x v="1"/>
    <x v="1"/>
    <x v="1"/>
    <x v="161"/>
    <x v="0"/>
    <x v="0"/>
    <x v="3"/>
  </r>
  <r>
    <x v="106"/>
    <x v="106"/>
    <x v="36"/>
    <x v="0"/>
    <x v="6"/>
    <x v="22"/>
    <x v="17"/>
    <x v="1"/>
    <x v="1"/>
    <x v="1"/>
    <x v="6"/>
    <x v="5"/>
    <x v="1"/>
    <x v="405"/>
    <x v="2"/>
    <x v="346"/>
    <x v="334"/>
    <x v="382"/>
    <x v="2"/>
    <x v="1"/>
    <x v="1"/>
    <x v="2"/>
    <x v="466"/>
    <x v="0"/>
    <x v="1"/>
    <x v="2"/>
  </r>
  <r>
    <x v="107"/>
    <x v="107"/>
    <x v="7"/>
    <x v="1"/>
    <x v="1"/>
    <x v="87"/>
    <x v="23"/>
    <x v="0"/>
    <x v="1"/>
    <x v="1"/>
    <x v="6"/>
    <x v="5"/>
    <x v="0"/>
    <x v="356"/>
    <x v="0"/>
    <x v="229"/>
    <x v="225"/>
    <x v="227"/>
    <x v="3"/>
    <x v="1"/>
    <x v="1"/>
    <x v="2"/>
    <x v="289"/>
    <x v="2"/>
    <x v="1"/>
    <x v="0"/>
  </r>
  <r>
    <x v="108"/>
    <x v="108"/>
    <x v="11"/>
    <x v="1"/>
    <x v="6"/>
    <x v="38"/>
    <x v="10"/>
    <x v="1"/>
    <x v="1"/>
    <x v="3"/>
    <x v="5"/>
    <x v="0"/>
    <x v="1"/>
    <x v="130"/>
    <x v="0"/>
    <x v="255"/>
    <x v="248"/>
    <x v="265"/>
    <x v="1"/>
    <x v="1"/>
    <x v="1"/>
    <x v="0"/>
    <x v="430"/>
    <x v="2"/>
    <x v="1"/>
    <x v="5"/>
  </r>
  <r>
    <x v="109"/>
    <x v="109"/>
    <x v="59"/>
    <x v="0"/>
    <x v="4"/>
    <x v="122"/>
    <x v="10"/>
    <x v="1"/>
    <x v="1"/>
    <x v="1"/>
    <x v="3"/>
    <x v="1"/>
    <x v="1"/>
    <x v="416"/>
    <x v="0"/>
    <x v="391"/>
    <x v="392"/>
    <x v="387"/>
    <x v="1"/>
    <x v="2"/>
    <x v="2"/>
    <x v="4"/>
    <x v="218"/>
    <x v="0"/>
    <x v="1"/>
    <x v="1"/>
  </r>
  <r>
    <x v="110"/>
    <x v="110"/>
    <x v="16"/>
    <x v="1"/>
    <x v="1"/>
    <x v="120"/>
    <x v="12"/>
    <x v="1"/>
    <x v="1"/>
    <x v="1"/>
    <x v="6"/>
    <x v="5"/>
    <x v="1"/>
    <x v="395"/>
    <x v="0"/>
    <x v="388"/>
    <x v="381"/>
    <x v="402"/>
    <x v="3"/>
    <x v="2"/>
    <x v="1"/>
    <x v="1"/>
    <x v="437"/>
    <x v="0"/>
    <x v="1"/>
    <x v="3"/>
  </r>
  <r>
    <x v="111"/>
    <x v="111"/>
    <x v="30"/>
    <x v="1"/>
    <x v="2"/>
    <x v="126"/>
    <x v="36"/>
    <x v="0"/>
    <x v="1"/>
    <x v="6"/>
    <x v="4"/>
    <x v="1"/>
    <x v="0"/>
    <x v="243"/>
    <x v="0"/>
    <x v="107"/>
    <x v="104"/>
    <x v="122"/>
    <x v="3"/>
    <x v="2"/>
    <x v="1"/>
    <x v="0"/>
    <x v="449"/>
    <x v="1"/>
    <x v="1"/>
    <x v="3"/>
  </r>
  <r>
    <x v="112"/>
    <x v="112"/>
    <x v="12"/>
    <x v="1"/>
    <x v="1"/>
    <x v="11"/>
    <x v="23"/>
    <x v="0"/>
    <x v="0"/>
    <x v="3"/>
    <x v="1"/>
    <x v="4"/>
    <x v="4"/>
    <x v="161"/>
    <x v="2"/>
    <x v="425"/>
    <x v="423"/>
    <x v="423"/>
    <x v="3"/>
    <x v="2"/>
    <x v="1"/>
    <x v="2"/>
    <x v="301"/>
    <x v="0"/>
    <x v="0"/>
    <x v="6"/>
  </r>
  <r>
    <x v="113"/>
    <x v="113"/>
    <x v="53"/>
    <x v="0"/>
    <x v="1"/>
    <x v="2"/>
    <x v="27"/>
    <x v="0"/>
    <x v="1"/>
    <x v="1"/>
    <x v="6"/>
    <x v="5"/>
    <x v="1"/>
    <x v="444"/>
    <x v="2"/>
    <x v="366"/>
    <x v="369"/>
    <x v="341"/>
    <x v="2"/>
    <x v="2"/>
    <x v="1"/>
    <x v="4"/>
    <x v="116"/>
    <x v="0"/>
    <x v="1"/>
    <x v="5"/>
  </r>
  <r>
    <x v="114"/>
    <x v="114"/>
    <x v="8"/>
    <x v="1"/>
    <x v="7"/>
    <x v="26"/>
    <x v="40"/>
    <x v="1"/>
    <x v="1"/>
    <x v="3"/>
    <x v="5"/>
    <x v="0"/>
    <x v="1"/>
    <x v="77"/>
    <x v="0"/>
    <x v="208"/>
    <x v="197"/>
    <x v="215"/>
    <x v="2"/>
    <x v="1"/>
    <x v="1"/>
    <x v="1"/>
    <x v="308"/>
    <x v="2"/>
    <x v="1"/>
    <x v="2"/>
  </r>
  <r>
    <x v="115"/>
    <x v="115"/>
    <x v="59"/>
    <x v="0"/>
    <x v="0"/>
    <x v="142"/>
    <x v="5"/>
    <x v="0"/>
    <x v="1"/>
    <x v="4"/>
    <x v="7"/>
    <x v="3"/>
    <x v="1"/>
    <x v="238"/>
    <x v="1"/>
    <x v="289"/>
    <x v="289"/>
    <x v="289"/>
    <x v="3"/>
    <x v="2"/>
    <x v="2"/>
    <x v="5"/>
    <x v="241"/>
    <x v="2"/>
    <x v="1"/>
    <x v="1"/>
  </r>
  <r>
    <x v="116"/>
    <x v="116"/>
    <x v="34"/>
    <x v="0"/>
    <x v="2"/>
    <x v="150"/>
    <x v="40"/>
    <x v="1"/>
    <x v="1"/>
    <x v="3"/>
    <x v="5"/>
    <x v="0"/>
    <x v="0"/>
    <x v="44"/>
    <x v="1"/>
    <x v="38"/>
    <x v="40"/>
    <x v="32"/>
    <x v="2"/>
    <x v="2"/>
    <x v="1"/>
    <x v="0"/>
    <x v="152"/>
    <x v="1"/>
    <x v="1"/>
    <x v="4"/>
  </r>
  <r>
    <x v="117"/>
    <x v="117"/>
    <x v="49"/>
    <x v="0"/>
    <x v="1"/>
    <x v="157"/>
    <x v="3"/>
    <x v="1"/>
    <x v="1"/>
    <x v="1"/>
    <x v="3"/>
    <x v="1"/>
    <x v="0"/>
    <x v="258"/>
    <x v="0"/>
    <x v="151"/>
    <x v="162"/>
    <x v="130"/>
    <x v="2"/>
    <x v="1"/>
    <x v="1"/>
    <x v="1"/>
    <x v="108"/>
    <x v="1"/>
    <x v="1"/>
    <x v="0"/>
  </r>
  <r>
    <x v="118"/>
    <x v="118"/>
    <x v="21"/>
    <x v="1"/>
    <x v="1"/>
    <x v="45"/>
    <x v="1"/>
    <x v="0"/>
    <x v="1"/>
    <x v="3"/>
    <x v="5"/>
    <x v="0"/>
    <x v="0"/>
    <x v="122"/>
    <x v="0"/>
    <x v="72"/>
    <x v="73"/>
    <x v="64"/>
    <x v="2"/>
    <x v="1"/>
    <x v="1"/>
    <x v="4"/>
    <x v="118"/>
    <x v="1"/>
    <x v="1"/>
    <x v="0"/>
  </r>
  <r>
    <x v="119"/>
    <x v="119"/>
    <x v="49"/>
    <x v="0"/>
    <x v="7"/>
    <x v="84"/>
    <x v="20"/>
    <x v="0"/>
    <x v="1"/>
    <x v="4"/>
    <x v="7"/>
    <x v="3"/>
    <x v="0"/>
    <x v="217"/>
    <x v="0"/>
    <x v="96"/>
    <x v="95"/>
    <x v="101"/>
    <x v="1"/>
    <x v="1"/>
    <x v="1"/>
    <x v="5"/>
    <x v="322"/>
    <x v="1"/>
    <x v="1"/>
    <x v="0"/>
  </r>
  <r>
    <x v="120"/>
    <x v="120"/>
    <x v="7"/>
    <x v="1"/>
    <x v="1"/>
    <x v="64"/>
    <x v="28"/>
    <x v="1"/>
    <x v="1"/>
    <x v="3"/>
    <x v="5"/>
    <x v="0"/>
    <x v="0"/>
    <x v="39"/>
    <x v="2"/>
    <x v="24"/>
    <x v="29"/>
    <x v="30"/>
    <x v="3"/>
    <x v="2"/>
    <x v="1"/>
    <x v="4"/>
    <x v="278"/>
    <x v="1"/>
    <x v="1"/>
    <x v="0"/>
  </r>
  <r>
    <x v="121"/>
    <x v="121"/>
    <x v="53"/>
    <x v="0"/>
    <x v="7"/>
    <x v="130"/>
    <x v="44"/>
    <x v="0"/>
    <x v="1"/>
    <x v="4"/>
    <x v="7"/>
    <x v="3"/>
    <x v="0"/>
    <x v="160"/>
    <x v="3"/>
    <x v="55"/>
    <x v="57"/>
    <x v="42"/>
    <x v="1"/>
    <x v="0"/>
    <x v="1"/>
    <x v="0"/>
    <x v="41"/>
    <x v="1"/>
    <x v="1"/>
    <x v="5"/>
  </r>
  <r>
    <x v="122"/>
    <x v="122"/>
    <x v="57"/>
    <x v="0"/>
    <x v="4"/>
    <x v="154"/>
    <x v="43"/>
    <x v="0"/>
    <x v="1"/>
    <x v="1"/>
    <x v="3"/>
    <x v="1"/>
    <x v="0"/>
    <x v="275"/>
    <x v="1"/>
    <x v="141"/>
    <x v="128"/>
    <x v="196"/>
    <x v="2"/>
    <x v="2"/>
    <x v="1"/>
    <x v="3"/>
    <x v="471"/>
    <x v="1"/>
    <x v="1"/>
    <x v="2"/>
  </r>
  <r>
    <x v="123"/>
    <x v="123"/>
    <x v="22"/>
    <x v="1"/>
    <x v="7"/>
    <x v="48"/>
    <x v="39"/>
    <x v="0"/>
    <x v="1"/>
    <x v="1"/>
    <x v="6"/>
    <x v="5"/>
    <x v="1"/>
    <x v="467"/>
    <x v="1"/>
    <x v="390"/>
    <x v="384"/>
    <x v="406"/>
    <x v="3"/>
    <x v="2"/>
    <x v="2"/>
    <x v="4"/>
    <x v="445"/>
    <x v="0"/>
    <x v="1"/>
    <x v="2"/>
  </r>
  <r>
    <x v="124"/>
    <x v="124"/>
    <x v="18"/>
    <x v="1"/>
    <x v="0"/>
    <x v="0"/>
    <x v="12"/>
    <x v="1"/>
    <x v="1"/>
    <x v="3"/>
    <x v="5"/>
    <x v="0"/>
    <x v="1"/>
    <x v="145"/>
    <x v="1"/>
    <x v="245"/>
    <x v="242"/>
    <x v="258"/>
    <x v="3"/>
    <x v="0"/>
    <x v="1"/>
    <x v="0"/>
    <x v="388"/>
    <x v="2"/>
    <x v="1"/>
    <x v="5"/>
  </r>
  <r>
    <x v="125"/>
    <x v="125"/>
    <x v="32"/>
    <x v="0"/>
    <x v="2"/>
    <x v="59"/>
    <x v="11"/>
    <x v="1"/>
    <x v="1"/>
    <x v="1"/>
    <x v="3"/>
    <x v="1"/>
    <x v="0"/>
    <x v="263"/>
    <x v="1"/>
    <x v="126"/>
    <x v="126"/>
    <x v="154"/>
    <x v="3"/>
    <x v="2"/>
    <x v="1"/>
    <x v="1"/>
    <x v="354"/>
    <x v="1"/>
    <x v="1"/>
    <x v="5"/>
  </r>
  <r>
    <x v="126"/>
    <x v="126"/>
    <x v="23"/>
    <x v="1"/>
    <x v="0"/>
    <x v="40"/>
    <x v="16"/>
    <x v="0"/>
    <x v="1"/>
    <x v="3"/>
    <x v="5"/>
    <x v="0"/>
    <x v="1"/>
    <x v="42"/>
    <x v="0"/>
    <x v="166"/>
    <x v="156"/>
    <x v="217"/>
    <x v="2"/>
    <x v="2"/>
    <x v="1"/>
    <x v="0"/>
    <x v="441"/>
    <x v="1"/>
    <x v="1"/>
    <x v="3"/>
  </r>
  <r>
    <x v="127"/>
    <x v="127"/>
    <x v="23"/>
    <x v="1"/>
    <x v="7"/>
    <x v="100"/>
    <x v="31"/>
    <x v="0"/>
    <x v="1"/>
    <x v="3"/>
    <x v="1"/>
    <x v="4"/>
    <x v="1"/>
    <x v="157"/>
    <x v="0"/>
    <x v="266"/>
    <x v="263"/>
    <x v="266"/>
    <x v="3"/>
    <x v="2"/>
    <x v="2"/>
    <x v="4"/>
    <x v="359"/>
    <x v="2"/>
    <x v="1"/>
    <x v="3"/>
  </r>
  <r>
    <x v="128"/>
    <x v="128"/>
    <x v="14"/>
    <x v="1"/>
    <x v="1"/>
    <x v="73"/>
    <x v="41"/>
    <x v="1"/>
    <x v="0"/>
    <x v="1"/>
    <x v="6"/>
    <x v="5"/>
    <x v="3"/>
    <x v="442"/>
    <x v="1"/>
    <x v="473"/>
    <x v="473"/>
    <x v="469"/>
    <x v="1"/>
    <x v="2"/>
    <x v="1"/>
    <x v="5"/>
    <x v="199"/>
    <x v="0"/>
    <x v="0"/>
    <x v="0"/>
  </r>
  <r>
    <x v="129"/>
    <x v="129"/>
    <x v="15"/>
    <x v="1"/>
    <x v="7"/>
    <x v="142"/>
    <x v="19"/>
    <x v="0"/>
    <x v="1"/>
    <x v="3"/>
    <x v="5"/>
    <x v="0"/>
    <x v="0"/>
    <x v="59"/>
    <x v="1"/>
    <x v="40"/>
    <x v="42"/>
    <x v="49"/>
    <x v="2"/>
    <x v="2"/>
    <x v="1"/>
    <x v="0"/>
    <x v="279"/>
    <x v="1"/>
    <x v="1"/>
    <x v="2"/>
  </r>
  <r>
    <x v="130"/>
    <x v="130"/>
    <x v="6"/>
    <x v="1"/>
    <x v="6"/>
    <x v="13"/>
    <x v="3"/>
    <x v="1"/>
    <x v="1"/>
    <x v="1"/>
    <x v="3"/>
    <x v="1"/>
    <x v="0"/>
    <x v="332"/>
    <x v="0"/>
    <x v="220"/>
    <x v="218"/>
    <x v="211"/>
    <x v="3"/>
    <x v="1"/>
    <x v="1"/>
    <x v="3"/>
    <x v="240"/>
    <x v="2"/>
    <x v="1"/>
    <x v="4"/>
  </r>
  <r>
    <x v="131"/>
    <x v="131"/>
    <x v="21"/>
    <x v="1"/>
    <x v="7"/>
    <x v="43"/>
    <x v="34"/>
    <x v="0"/>
    <x v="1"/>
    <x v="3"/>
    <x v="1"/>
    <x v="4"/>
    <x v="1"/>
    <x v="138"/>
    <x v="3"/>
    <x v="167"/>
    <x v="173"/>
    <x v="137"/>
    <x v="3"/>
    <x v="0"/>
    <x v="1"/>
    <x v="5"/>
    <x v="104"/>
    <x v="1"/>
    <x v="1"/>
    <x v="0"/>
  </r>
  <r>
    <x v="132"/>
    <x v="132"/>
    <x v="16"/>
    <x v="1"/>
    <x v="4"/>
    <x v="145"/>
    <x v="5"/>
    <x v="0"/>
    <x v="1"/>
    <x v="1"/>
    <x v="3"/>
    <x v="1"/>
    <x v="0"/>
    <x v="348"/>
    <x v="0"/>
    <x v="226"/>
    <x v="233"/>
    <x v="159"/>
    <x v="3"/>
    <x v="2"/>
    <x v="1"/>
    <x v="3"/>
    <x v="36"/>
    <x v="2"/>
    <x v="1"/>
    <x v="3"/>
  </r>
  <r>
    <x v="133"/>
    <x v="133"/>
    <x v="35"/>
    <x v="0"/>
    <x v="2"/>
    <x v="11"/>
    <x v="35"/>
    <x v="0"/>
    <x v="1"/>
    <x v="1"/>
    <x v="6"/>
    <x v="5"/>
    <x v="1"/>
    <x v="307"/>
    <x v="2"/>
    <x v="324"/>
    <x v="326"/>
    <x v="325"/>
    <x v="2"/>
    <x v="1"/>
    <x v="1"/>
    <x v="3"/>
    <x v="177"/>
    <x v="2"/>
    <x v="1"/>
    <x v="0"/>
  </r>
  <r>
    <x v="134"/>
    <x v="134"/>
    <x v="19"/>
    <x v="1"/>
    <x v="1"/>
    <x v="15"/>
    <x v="1"/>
    <x v="0"/>
    <x v="1"/>
    <x v="6"/>
    <x v="4"/>
    <x v="1"/>
    <x v="0"/>
    <x v="212"/>
    <x v="1"/>
    <x v="91"/>
    <x v="93"/>
    <x v="80"/>
    <x v="2"/>
    <x v="1"/>
    <x v="1"/>
    <x v="3"/>
    <x v="13"/>
    <x v="1"/>
    <x v="1"/>
    <x v="6"/>
  </r>
  <r>
    <x v="135"/>
    <x v="135"/>
    <x v="0"/>
    <x v="1"/>
    <x v="6"/>
    <x v="37"/>
    <x v="6"/>
    <x v="1"/>
    <x v="0"/>
    <x v="4"/>
    <x v="7"/>
    <x v="3"/>
    <x v="3"/>
    <x v="235"/>
    <x v="1"/>
    <x v="435"/>
    <x v="435"/>
    <x v="438"/>
    <x v="2"/>
    <x v="2"/>
    <x v="1"/>
    <x v="1"/>
    <x v="352"/>
    <x v="0"/>
    <x v="0"/>
    <x v="0"/>
  </r>
  <r>
    <x v="136"/>
    <x v="136"/>
    <x v="49"/>
    <x v="0"/>
    <x v="1"/>
    <x v="29"/>
    <x v="43"/>
    <x v="0"/>
    <x v="1"/>
    <x v="6"/>
    <x v="4"/>
    <x v="1"/>
    <x v="0"/>
    <x v="242"/>
    <x v="0"/>
    <x v="106"/>
    <x v="106"/>
    <x v="112"/>
    <x v="1"/>
    <x v="1"/>
    <x v="1"/>
    <x v="5"/>
    <x v="366"/>
    <x v="1"/>
    <x v="1"/>
    <x v="0"/>
  </r>
  <r>
    <x v="137"/>
    <x v="137"/>
    <x v="26"/>
    <x v="1"/>
    <x v="1"/>
    <x v="95"/>
    <x v="11"/>
    <x v="1"/>
    <x v="1"/>
    <x v="1"/>
    <x v="6"/>
    <x v="5"/>
    <x v="1"/>
    <x v="437"/>
    <x v="3"/>
    <x v="334"/>
    <x v="329"/>
    <x v="357"/>
    <x v="3"/>
    <x v="1"/>
    <x v="1"/>
    <x v="1"/>
    <x v="386"/>
    <x v="2"/>
    <x v="1"/>
    <x v="6"/>
  </r>
  <r>
    <x v="138"/>
    <x v="138"/>
    <x v="34"/>
    <x v="0"/>
    <x v="1"/>
    <x v="59"/>
    <x v="10"/>
    <x v="1"/>
    <x v="1"/>
    <x v="1"/>
    <x v="6"/>
    <x v="5"/>
    <x v="1"/>
    <x v="447"/>
    <x v="0"/>
    <x v="399"/>
    <x v="402"/>
    <x v="389"/>
    <x v="3"/>
    <x v="0"/>
    <x v="1"/>
    <x v="2"/>
    <x v="156"/>
    <x v="0"/>
    <x v="1"/>
    <x v="4"/>
  </r>
  <r>
    <x v="139"/>
    <x v="139"/>
    <x v="17"/>
    <x v="1"/>
    <x v="4"/>
    <x v="45"/>
    <x v="40"/>
    <x v="1"/>
    <x v="1"/>
    <x v="3"/>
    <x v="1"/>
    <x v="4"/>
    <x v="0"/>
    <x v="54"/>
    <x v="3"/>
    <x v="23"/>
    <x v="26"/>
    <x v="22"/>
    <x v="3"/>
    <x v="2"/>
    <x v="2"/>
    <x v="3"/>
    <x v="154"/>
    <x v="1"/>
    <x v="1"/>
    <x v="1"/>
  </r>
  <r>
    <x v="140"/>
    <x v="140"/>
    <x v="40"/>
    <x v="0"/>
    <x v="1"/>
    <x v="78"/>
    <x v="0"/>
    <x v="1"/>
    <x v="0"/>
    <x v="1"/>
    <x v="6"/>
    <x v="5"/>
    <x v="4"/>
    <x v="376"/>
    <x v="2"/>
    <x v="484"/>
    <x v="483"/>
    <x v="489"/>
    <x v="2"/>
    <x v="1"/>
    <x v="1"/>
    <x v="3"/>
    <x v="304"/>
    <x v="0"/>
    <x v="0"/>
    <x v="6"/>
  </r>
  <r>
    <x v="141"/>
    <x v="141"/>
    <x v="39"/>
    <x v="0"/>
    <x v="3"/>
    <x v="34"/>
    <x v="46"/>
    <x v="1"/>
    <x v="1"/>
    <x v="1"/>
    <x v="3"/>
    <x v="1"/>
    <x v="0"/>
    <x v="280"/>
    <x v="0"/>
    <x v="178"/>
    <x v="171"/>
    <x v="200"/>
    <x v="3"/>
    <x v="1"/>
    <x v="1"/>
    <x v="1"/>
    <x v="321"/>
    <x v="2"/>
    <x v="1"/>
    <x v="5"/>
  </r>
  <r>
    <x v="142"/>
    <x v="142"/>
    <x v="35"/>
    <x v="0"/>
    <x v="1"/>
    <x v="6"/>
    <x v="26"/>
    <x v="0"/>
    <x v="0"/>
    <x v="1"/>
    <x v="3"/>
    <x v="1"/>
    <x v="4"/>
    <x v="284"/>
    <x v="2"/>
    <x v="478"/>
    <x v="479"/>
    <x v="468"/>
    <x v="3"/>
    <x v="1"/>
    <x v="1"/>
    <x v="1"/>
    <x v="60"/>
    <x v="0"/>
    <x v="0"/>
    <x v="0"/>
  </r>
  <r>
    <x v="143"/>
    <x v="143"/>
    <x v="4"/>
    <x v="1"/>
    <x v="6"/>
    <x v="110"/>
    <x v="38"/>
    <x v="1"/>
    <x v="1"/>
    <x v="1"/>
    <x v="6"/>
    <x v="5"/>
    <x v="1"/>
    <x v="432"/>
    <x v="3"/>
    <x v="333"/>
    <x v="331"/>
    <x v="338"/>
    <x v="3"/>
    <x v="1"/>
    <x v="1"/>
    <x v="2"/>
    <x v="261"/>
    <x v="2"/>
    <x v="1"/>
    <x v="5"/>
  </r>
  <r>
    <x v="144"/>
    <x v="144"/>
    <x v="59"/>
    <x v="0"/>
    <x v="6"/>
    <x v="164"/>
    <x v="6"/>
    <x v="1"/>
    <x v="1"/>
    <x v="1"/>
    <x v="6"/>
    <x v="5"/>
    <x v="0"/>
    <x v="481"/>
    <x v="2"/>
    <x v="227"/>
    <x v="217"/>
    <x v="246"/>
    <x v="3"/>
    <x v="1"/>
    <x v="1"/>
    <x v="1"/>
    <x v="403"/>
    <x v="2"/>
    <x v="1"/>
    <x v="1"/>
  </r>
  <r>
    <x v="145"/>
    <x v="145"/>
    <x v="56"/>
    <x v="0"/>
    <x v="1"/>
    <x v="10"/>
    <x v="1"/>
    <x v="0"/>
    <x v="1"/>
    <x v="1"/>
    <x v="6"/>
    <x v="5"/>
    <x v="0"/>
    <x v="478"/>
    <x v="1"/>
    <x v="246"/>
    <x v="243"/>
    <x v="256"/>
    <x v="3"/>
    <x v="2"/>
    <x v="1"/>
    <x v="0"/>
    <x v="353"/>
    <x v="2"/>
    <x v="1"/>
    <x v="0"/>
  </r>
  <r>
    <x v="146"/>
    <x v="146"/>
    <x v="30"/>
    <x v="1"/>
    <x v="2"/>
    <x v="50"/>
    <x v="20"/>
    <x v="0"/>
    <x v="1"/>
    <x v="1"/>
    <x v="3"/>
    <x v="1"/>
    <x v="0"/>
    <x v="362"/>
    <x v="3"/>
    <x v="124"/>
    <x v="131"/>
    <x v="119"/>
    <x v="3"/>
    <x v="1"/>
    <x v="1"/>
    <x v="2"/>
    <x v="137"/>
    <x v="1"/>
    <x v="1"/>
    <x v="3"/>
  </r>
  <r>
    <x v="147"/>
    <x v="147"/>
    <x v="30"/>
    <x v="1"/>
    <x v="1"/>
    <x v="71"/>
    <x v="4"/>
    <x v="1"/>
    <x v="1"/>
    <x v="1"/>
    <x v="6"/>
    <x v="5"/>
    <x v="0"/>
    <x v="446"/>
    <x v="1"/>
    <x v="237"/>
    <x v="235"/>
    <x v="230"/>
    <x v="2"/>
    <x v="2"/>
    <x v="1"/>
    <x v="2"/>
    <x v="238"/>
    <x v="2"/>
    <x v="1"/>
    <x v="3"/>
  </r>
  <r>
    <x v="148"/>
    <x v="148"/>
    <x v="41"/>
    <x v="0"/>
    <x v="4"/>
    <x v="130"/>
    <x v="30"/>
    <x v="0"/>
    <x v="1"/>
    <x v="1"/>
    <x v="3"/>
    <x v="1"/>
    <x v="1"/>
    <x v="333"/>
    <x v="3"/>
    <x v="318"/>
    <x v="318"/>
    <x v="320"/>
    <x v="2"/>
    <x v="0"/>
    <x v="1"/>
    <x v="1"/>
    <x v="224"/>
    <x v="2"/>
    <x v="1"/>
    <x v="4"/>
  </r>
  <r>
    <x v="149"/>
    <x v="149"/>
    <x v="9"/>
    <x v="1"/>
    <x v="1"/>
    <x v="59"/>
    <x v="26"/>
    <x v="0"/>
    <x v="1"/>
    <x v="3"/>
    <x v="1"/>
    <x v="4"/>
    <x v="1"/>
    <x v="117"/>
    <x v="0"/>
    <x v="244"/>
    <x v="251"/>
    <x v="216"/>
    <x v="3"/>
    <x v="1"/>
    <x v="1"/>
    <x v="1"/>
    <x v="126"/>
    <x v="2"/>
    <x v="1"/>
    <x v="3"/>
  </r>
  <r>
    <x v="150"/>
    <x v="150"/>
    <x v="41"/>
    <x v="0"/>
    <x v="0"/>
    <x v="165"/>
    <x v="21"/>
    <x v="1"/>
    <x v="1"/>
    <x v="3"/>
    <x v="1"/>
    <x v="4"/>
    <x v="0"/>
    <x v="131"/>
    <x v="1"/>
    <x v="69"/>
    <x v="70"/>
    <x v="54"/>
    <x v="3"/>
    <x v="1"/>
    <x v="1"/>
    <x v="3"/>
    <x v="67"/>
    <x v="1"/>
    <x v="1"/>
    <x v="4"/>
  </r>
  <r>
    <x v="151"/>
    <x v="151"/>
    <x v="17"/>
    <x v="1"/>
    <x v="4"/>
    <x v="147"/>
    <x v="12"/>
    <x v="1"/>
    <x v="0"/>
    <x v="3"/>
    <x v="5"/>
    <x v="0"/>
    <x v="3"/>
    <x v="111"/>
    <x v="1"/>
    <x v="373"/>
    <x v="379"/>
    <x v="344"/>
    <x v="2"/>
    <x v="2"/>
    <x v="1"/>
    <x v="3"/>
    <x v="96"/>
    <x v="0"/>
    <x v="0"/>
    <x v="1"/>
  </r>
  <r>
    <x v="152"/>
    <x v="152"/>
    <x v="42"/>
    <x v="0"/>
    <x v="4"/>
    <x v="26"/>
    <x v="35"/>
    <x v="0"/>
    <x v="1"/>
    <x v="1"/>
    <x v="6"/>
    <x v="5"/>
    <x v="0"/>
    <x v="364"/>
    <x v="1"/>
    <x v="192"/>
    <x v="198"/>
    <x v="175"/>
    <x v="2"/>
    <x v="2"/>
    <x v="1"/>
    <x v="1"/>
    <x v="174"/>
    <x v="2"/>
    <x v="1"/>
    <x v="0"/>
  </r>
  <r>
    <x v="153"/>
    <x v="153"/>
    <x v="23"/>
    <x v="1"/>
    <x v="7"/>
    <x v="128"/>
    <x v="37"/>
    <x v="1"/>
    <x v="1"/>
    <x v="6"/>
    <x v="4"/>
    <x v="1"/>
    <x v="1"/>
    <x v="253"/>
    <x v="1"/>
    <x v="308"/>
    <x v="306"/>
    <x v="315"/>
    <x v="2"/>
    <x v="1"/>
    <x v="2"/>
    <x v="4"/>
    <x v="273"/>
    <x v="2"/>
    <x v="1"/>
    <x v="3"/>
  </r>
  <r>
    <x v="154"/>
    <x v="154"/>
    <x v="18"/>
    <x v="1"/>
    <x v="1"/>
    <x v="11"/>
    <x v="9"/>
    <x v="1"/>
    <x v="0"/>
    <x v="4"/>
    <x v="7"/>
    <x v="3"/>
    <x v="4"/>
    <x v="183"/>
    <x v="3"/>
    <x v="427"/>
    <x v="427"/>
    <x v="424"/>
    <x v="3"/>
    <x v="2"/>
    <x v="1"/>
    <x v="0"/>
    <x v="221"/>
    <x v="0"/>
    <x v="0"/>
    <x v="5"/>
  </r>
  <r>
    <x v="155"/>
    <x v="155"/>
    <x v="50"/>
    <x v="0"/>
    <x v="0"/>
    <x v="132"/>
    <x v="17"/>
    <x v="1"/>
    <x v="1"/>
    <x v="1"/>
    <x v="6"/>
    <x v="5"/>
    <x v="0"/>
    <x v="346"/>
    <x v="0"/>
    <x v="224"/>
    <x v="216"/>
    <x v="238"/>
    <x v="3"/>
    <x v="2"/>
    <x v="1"/>
    <x v="0"/>
    <x v="369"/>
    <x v="2"/>
    <x v="1"/>
    <x v="2"/>
  </r>
  <r>
    <x v="156"/>
    <x v="156"/>
    <x v="23"/>
    <x v="1"/>
    <x v="1"/>
    <x v="95"/>
    <x v="4"/>
    <x v="1"/>
    <x v="1"/>
    <x v="1"/>
    <x v="6"/>
    <x v="5"/>
    <x v="0"/>
    <x v="299"/>
    <x v="1"/>
    <x v="161"/>
    <x v="150"/>
    <x v="214"/>
    <x v="3"/>
    <x v="2"/>
    <x v="1"/>
    <x v="0"/>
    <x v="438"/>
    <x v="1"/>
    <x v="1"/>
    <x v="3"/>
  </r>
  <r>
    <x v="157"/>
    <x v="157"/>
    <x v="40"/>
    <x v="0"/>
    <x v="3"/>
    <x v="109"/>
    <x v="4"/>
    <x v="1"/>
    <x v="1"/>
    <x v="1"/>
    <x v="6"/>
    <x v="5"/>
    <x v="1"/>
    <x v="451"/>
    <x v="1"/>
    <x v="387"/>
    <x v="380"/>
    <x v="405"/>
    <x v="3"/>
    <x v="2"/>
    <x v="1"/>
    <x v="2"/>
    <x v="470"/>
    <x v="0"/>
    <x v="1"/>
    <x v="6"/>
  </r>
  <r>
    <x v="158"/>
    <x v="158"/>
    <x v="59"/>
    <x v="0"/>
    <x v="2"/>
    <x v="110"/>
    <x v="15"/>
    <x v="1"/>
    <x v="0"/>
    <x v="3"/>
    <x v="1"/>
    <x v="4"/>
    <x v="2"/>
    <x v="154"/>
    <x v="1"/>
    <x v="306"/>
    <x v="307"/>
    <x v="300"/>
    <x v="2"/>
    <x v="2"/>
    <x v="1"/>
    <x v="0"/>
    <x v="178"/>
    <x v="2"/>
    <x v="0"/>
    <x v="1"/>
  </r>
  <r>
    <x v="159"/>
    <x v="159"/>
    <x v="21"/>
    <x v="1"/>
    <x v="2"/>
    <x v="132"/>
    <x v="9"/>
    <x v="1"/>
    <x v="0"/>
    <x v="4"/>
    <x v="7"/>
    <x v="3"/>
    <x v="4"/>
    <x v="175"/>
    <x v="1"/>
    <x v="436"/>
    <x v="438"/>
    <x v="427"/>
    <x v="2"/>
    <x v="0"/>
    <x v="1"/>
    <x v="1"/>
    <x v="122"/>
    <x v="0"/>
    <x v="0"/>
    <x v="0"/>
  </r>
  <r>
    <x v="160"/>
    <x v="160"/>
    <x v="53"/>
    <x v="0"/>
    <x v="4"/>
    <x v="55"/>
    <x v="33"/>
    <x v="1"/>
    <x v="1"/>
    <x v="1"/>
    <x v="6"/>
    <x v="5"/>
    <x v="0"/>
    <x v="342"/>
    <x v="0"/>
    <x v="221"/>
    <x v="214"/>
    <x v="232"/>
    <x v="1"/>
    <x v="2"/>
    <x v="1"/>
    <x v="5"/>
    <x v="345"/>
    <x v="2"/>
    <x v="1"/>
    <x v="5"/>
  </r>
  <r>
    <x v="161"/>
    <x v="161"/>
    <x v="29"/>
    <x v="1"/>
    <x v="1"/>
    <x v="107"/>
    <x v="16"/>
    <x v="0"/>
    <x v="1"/>
    <x v="1"/>
    <x v="6"/>
    <x v="5"/>
    <x v="1"/>
    <x v="438"/>
    <x v="1"/>
    <x v="383"/>
    <x v="382"/>
    <x v="380"/>
    <x v="1"/>
    <x v="1"/>
    <x v="1"/>
    <x v="1"/>
    <x v="230"/>
    <x v="0"/>
    <x v="1"/>
    <x v="2"/>
  </r>
  <r>
    <x v="162"/>
    <x v="162"/>
    <x v="48"/>
    <x v="0"/>
    <x v="3"/>
    <x v="67"/>
    <x v="19"/>
    <x v="0"/>
    <x v="1"/>
    <x v="1"/>
    <x v="3"/>
    <x v="1"/>
    <x v="0"/>
    <x v="272"/>
    <x v="1"/>
    <x v="135"/>
    <x v="143"/>
    <x v="118"/>
    <x v="3"/>
    <x v="1"/>
    <x v="1"/>
    <x v="1"/>
    <x v="75"/>
    <x v="1"/>
    <x v="1"/>
    <x v="4"/>
  </r>
  <r>
    <x v="163"/>
    <x v="163"/>
    <x v="23"/>
    <x v="1"/>
    <x v="1"/>
    <x v="123"/>
    <x v="14"/>
    <x v="1"/>
    <x v="1"/>
    <x v="3"/>
    <x v="5"/>
    <x v="0"/>
    <x v="0"/>
    <x v="29"/>
    <x v="1"/>
    <x v="29"/>
    <x v="31"/>
    <x v="23"/>
    <x v="2"/>
    <x v="2"/>
    <x v="1"/>
    <x v="0"/>
    <x v="84"/>
    <x v="1"/>
    <x v="1"/>
    <x v="3"/>
  </r>
  <r>
    <x v="164"/>
    <x v="164"/>
    <x v="34"/>
    <x v="0"/>
    <x v="7"/>
    <x v="97"/>
    <x v="41"/>
    <x v="1"/>
    <x v="1"/>
    <x v="1"/>
    <x v="3"/>
    <x v="1"/>
    <x v="0"/>
    <x v="302"/>
    <x v="0"/>
    <x v="205"/>
    <x v="206"/>
    <x v="182"/>
    <x v="3"/>
    <x v="2"/>
    <x v="1"/>
    <x v="2"/>
    <x v="186"/>
    <x v="2"/>
    <x v="1"/>
    <x v="4"/>
  </r>
  <r>
    <x v="165"/>
    <x v="165"/>
    <x v="17"/>
    <x v="1"/>
    <x v="2"/>
    <x v="120"/>
    <x v="9"/>
    <x v="1"/>
    <x v="1"/>
    <x v="1"/>
    <x v="6"/>
    <x v="5"/>
    <x v="1"/>
    <x v="387"/>
    <x v="0"/>
    <x v="385"/>
    <x v="378"/>
    <x v="403"/>
    <x v="1"/>
    <x v="1"/>
    <x v="1"/>
    <x v="0"/>
    <x v="457"/>
    <x v="0"/>
    <x v="1"/>
    <x v="1"/>
  </r>
  <r>
    <x v="166"/>
    <x v="166"/>
    <x v="5"/>
    <x v="1"/>
    <x v="1"/>
    <x v="154"/>
    <x v="38"/>
    <x v="1"/>
    <x v="1"/>
    <x v="4"/>
    <x v="7"/>
    <x v="3"/>
    <x v="1"/>
    <x v="210"/>
    <x v="1"/>
    <x v="279"/>
    <x v="277"/>
    <x v="284"/>
    <x v="1"/>
    <x v="1"/>
    <x v="1"/>
    <x v="0"/>
    <x v="337"/>
    <x v="2"/>
    <x v="1"/>
    <x v="6"/>
  </r>
  <r>
    <x v="167"/>
    <x v="167"/>
    <x v="10"/>
    <x v="1"/>
    <x v="1"/>
    <x v="122"/>
    <x v="28"/>
    <x v="1"/>
    <x v="1"/>
    <x v="3"/>
    <x v="5"/>
    <x v="0"/>
    <x v="1"/>
    <x v="121"/>
    <x v="0"/>
    <x v="253"/>
    <x v="250"/>
    <x v="253"/>
    <x v="2"/>
    <x v="2"/>
    <x v="1"/>
    <x v="5"/>
    <x v="295"/>
    <x v="2"/>
    <x v="1"/>
    <x v="1"/>
  </r>
  <r>
    <x v="168"/>
    <x v="168"/>
    <x v="9"/>
    <x v="1"/>
    <x v="6"/>
    <x v="139"/>
    <x v="22"/>
    <x v="1"/>
    <x v="0"/>
    <x v="1"/>
    <x v="6"/>
    <x v="5"/>
    <x v="4"/>
    <x v="297"/>
    <x v="3"/>
    <x v="474"/>
    <x v="477"/>
    <x v="460"/>
    <x v="1"/>
    <x v="1"/>
    <x v="1"/>
    <x v="1"/>
    <x v="30"/>
    <x v="0"/>
    <x v="0"/>
    <x v="3"/>
  </r>
  <r>
    <x v="169"/>
    <x v="169"/>
    <x v="57"/>
    <x v="0"/>
    <x v="2"/>
    <x v="149"/>
    <x v="36"/>
    <x v="0"/>
    <x v="1"/>
    <x v="5"/>
    <x v="8"/>
    <x v="6"/>
    <x v="0"/>
    <x v="23"/>
    <x v="2"/>
    <x v="13"/>
    <x v="13"/>
    <x v="9"/>
    <x v="2"/>
    <x v="2"/>
    <x v="1"/>
    <x v="4"/>
    <x v="473"/>
    <x v="1"/>
    <x v="1"/>
    <x v="2"/>
  </r>
  <r>
    <x v="170"/>
    <x v="170"/>
    <x v="58"/>
    <x v="0"/>
    <x v="1"/>
    <x v="115"/>
    <x v="18"/>
    <x v="0"/>
    <x v="1"/>
    <x v="4"/>
    <x v="7"/>
    <x v="3"/>
    <x v="1"/>
    <x v="178"/>
    <x v="2"/>
    <x v="256"/>
    <x v="254"/>
    <x v="259"/>
    <x v="3"/>
    <x v="2"/>
    <x v="1"/>
    <x v="4"/>
    <x v="340"/>
    <x v="2"/>
    <x v="1"/>
    <x v="3"/>
  </r>
  <r>
    <x v="171"/>
    <x v="171"/>
    <x v="27"/>
    <x v="1"/>
    <x v="1"/>
    <x v="15"/>
    <x v="30"/>
    <x v="0"/>
    <x v="1"/>
    <x v="1"/>
    <x v="6"/>
    <x v="5"/>
    <x v="0"/>
    <x v="321"/>
    <x v="2"/>
    <x v="139"/>
    <x v="127"/>
    <x v="193"/>
    <x v="3"/>
    <x v="1"/>
    <x v="1"/>
    <x v="4"/>
    <x v="462"/>
    <x v="1"/>
    <x v="1"/>
    <x v="4"/>
  </r>
  <r>
    <x v="172"/>
    <x v="172"/>
    <x v="44"/>
    <x v="0"/>
    <x v="7"/>
    <x v="109"/>
    <x v="15"/>
    <x v="1"/>
    <x v="1"/>
    <x v="1"/>
    <x v="6"/>
    <x v="5"/>
    <x v="1"/>
    <x v="482"/>
    <x v="2"/>
    <x v="377"/>
    <x v="377"/>
    <x v="383"/>
    <x v="1"/>
    <x v="1"/>
    <x v="1"/>
    <x v="0"/>
    <x v="292"/>
    <x v="0"/>
    <x v="1"/>
    <x v="3"/>
  </r>
  <r>
    <x v="173"/>
    <x v="173"/>
    <x v="42"/>
    <x v="0"/>
    <x v="1"/>
    <x v="9"/>
    <x v="11"/>
    <x v="1"/>
    <x v="1"/>
    <x v="6"/>
    <x v="4"/>
    <x v="1"/>
    <x v="1"/>
    <x v="236"/>
    <x v="0"/>
    <x v="295"/>
    <x v="293"/>
    <x v="305"/>
    <x v="1"/>
    <x v="2"/>
    <x v="1"/>
    <x v="4"/>
    <x v="423"/>
    <x v="2"/>
    <x v="1"/>
    <x v="0"/>
  </r>
  <r>
    <x v="174"/>
    <x v="174"/>
    <x v="40"/>
    <x v="0"/>
    <x v="7"/>
    <x v="117"/>
    <x v="36"/>
    <x v="0"/>
    <x v="0"/>
    <x v="1"/>
    <x v="3"/>
    <x v="1"/>
    <x v="3"/>
    <x v="266"/>
    <x v="0"/>
    <x v="459"/>
    <x v="463"/>
    <x v="453"/>
    <x v="3"/>
    <x v="0"/>
    <x v="2"/>
    <x v="4"/>
    <x v="121"/>
    <x v="0"/>
    <x v="0"/>
    <x v="6"/>
  </r>
  <r>
    <x v="175"/>
    <x v="175"/>
    <x v="4"/>
    <x v="1"/>
    <x v="4"/>
    <x v="76"/>
    <x v="23"/>
    <x v="0"/>
    <x v="1"/>
    <x v="1"/>
    <x v="6"/>
    <x v="5"/>
    <x v="0"/>
    <x v="354"/>
    <x v="1"/>
    <x v="187"/>
    <x v="209"/>
    <x v="136"/>
    <x v="3"/>
    <x v="0"/>
    <x v="1"/>
    <x v="5"/>
    <x v="19"/>
    <x v="2"/>
    <x v="1"/>
    <x v="5"/>
  </r>
  <r>
    <x v="176"/>
    <x v="176"/>
    <x v="6"/>
    <x v="1"/>
    <x v="1"/>
    <x v="149"/>
    <x v="28"/>
    <x v="1"/>
    <x v="1"/>
    <x v="1"/>
    <x v="3"/>
    <x v="1"/>
    <x v="0"/>
    <x v="319"/>
    <x v="2"/>
    <x v="137"/>
    <x v="129"/>
    <x v="186"/>
    <x v="2"/>
    <x v="0"/>
    <x v="1"/>
    <x v="4"/>
    <x v="420"/>
    <x v="1"/>
    <x v="1"/>
    <x v="4"/>
  </r>
  <r>
    <x v="177"/>
    <x v="177"/>
    <x v="34"/>
    <x v="0"/>
    <x v="7"/>
    <x v="82"/>
    <x v="38"/>
    <x v="1"/>
    <x v="1"/>
    <x v="1"/>
    <x v="6"/>
    <x v="5"/>
    <x v="0"/>
    <x v="357"/>
    <x v="1"/>
    <x v="189"/>
    <x v="188"/>
    <x v="187"/>
    <x v="3"/>
    <x v="2"/>
    <x v="1"/>
    <x v="2"/>
    <x v="216"/>
    <x v="2"/>
    <x v="1"/>
    <x v="4"/>
  </r>
  <r>
    <x v="178"/>
    <x v="178"/>
    <x v="22"/>
    <x v="1"/>
    <x v="4"/>
    <x v="53"/>
    <x v="35"/>
    <x v="0"/>
    <x v="1"/>
    <x v="1"/>
    <x v="6"/>
    <x v="5"/>
    <x v="1"/>
    <x v="301"/>
    <x v="3"/>
    <x v="312"/>
    <x v="309"/>
    <x v="330"/>
    <x v="1"/>
    <x v="2"/>
    <x v="1"/>
    <x v="1"/>
    <x v="402"/>
    <x v="2"/>
    <x v="1"/>
    <x v="2"/>
  </r>
  <r>
    <x v="179"/>
    <x v="179"/>
    <x v="53"/>
    <x v="0"/>
    <x v="1"/>
    <x v="144"/>
    <x v="32"/>
    <x v="0"/>
    <x v="1"/>
    <x v="4"/>
    <x v="7"/>
    <x v="3"/>
    <x v="1"/>
    <x v="225"/>
    <x v="2"/>
    <x v="276"/>
    <x v="275"/>
    <x v="286"/>
    <x v="3"/>
    <x v="2"/>
    <x v="1"/>
    <x v="0"/>
    <x v="364"/>
    <x v="2"/>
    <x v="1"/>
    <x v="5"/>
  </r>
  <r>
    <x v="180"/>
    <x v="180"/>
    <x v="35"/>
    <x v="0"/>
    <x v="6"/>
    <x v="97"/>
    <x v="26"/>
    <x v="0"/>
    <x v="1"/>
    <x v="3"/>
    <x v="1"/>
    <x v="4"/>
    <x v="1"/>
    <x v="123"/>
    <x v="1"/>
    <x v="234"/>
    <x v="232"/>
    <x v="233"/>
    <x v="0"/>
    <x v="1"/>
    <x v="1"/>
    <x v="3"/>
    <x v="285"/>
    <x v="2"/>
    <x v="1"/>
    <x v="0"/>
  </r>
  <r>
    <x v="181"/>
    <x v="181"/>
    <x v="52"/>
    <x v="0"/>
    <x v="1"/>
    <x v="94"/>
    <x v="29"/>
    <x v="0"/>
    <x v="1"/>
    <x v="4"/>
    <x v="7"/>
    <x v="3"/>
    <x v="1"/>
    <x v="168"/>
    <x v="3"/>
    <x v="216"/>
    <x v="205"/>
    <x v="226"/>
    <x v="2"/>
    <x v="2"/>
    <x v="1"/>
    <x v="0"/>
    <x v="333"/>
    <x v="2"/>
    <x v="1"/>
    <x v="1"/>
  </r>
  <r>
    <x v="182"/>
    <x v="182"/>
    <x v="17"/>
    <x v="1"/>
    <x v="4"/>
    <x v="12"/>
    <x v="36"/>
    <x v="0"/>
    <x v="1"/>
    <x v="3"/>
    <x v="1"/>
    <x v="4"/>
    <x v="1"/>
    <x v="59"/>
    <x v="2"/>
    <x v="123"/>
    <x v="122"/>
    <x v="167"/>
    <x v="3"/>
    <x v="2"/>
    <x v="1"/>
    <x v="3"/>
    <x v="428"/>
    <x v="1"/>
    <x v="1"/>
    <x v="1"/>
  </r>
  <r>
    <x v="183"/>
    <x v="183"/>
    <x v="27"/>
    <x v="1"/>
    <x v="1"/>
    <x v="134"/>
    <x v="22"/>
    <x v="1"/>
    <x v="1"/>
    <x v="6"/>
    <x v="4"/>
    <x v="1"/>
    <x v="0"/>
    <x v="249"/>
    <x v="1"/>
    <x v="108"/>
    <x v="109"/>
    <x v="104"/>
    <x v="2"/>
    <x v="1"/>
    <x v="1"/>
    <x v="2"/>
    <x v="163"/>
    <x v="1"/>
    <x v="1"/>
    <x v="4"/>
  </r>
  <r>
    <x v="184"/>
    <x v="184"/>
    <x v="44"/>
    <x v="0"/>
    <x v="2"/>
    <x v="60"/>
    <x v="7"/>
    <x v="1"/>
    <x v="1"/>
    <x v="1"/>
    <x v="6"/>
    <x v="5"/>
    <x v="0"/>
    <x v="485"/>
    <x v="0"/>
    <x v="264"/>
    <x v="267"/>
    <x v="228"/>
    <x v="2"/>
    <x v="2"/>
    <x v="1"/>
    <x v="1"/>
    <x v="43"/>
    <x v="2"/>
    <x v="1"/>
    <x v="3"/>
  </r>
  <r>
    <x v="185"/>
    <x v="185"/>
    <x v="32"/>
    <x v="0"/>
    <x v="2"/>
    <x v="101"/>
    <x v="11"/>
    <x v="1"/>
    <x v="1"/>
    <x v="5"/>
    <x v="8"/>
    <x v="6"/>
    <x v="1"/>
    <x v="20"/>
    <x v="0"/>
    <x v="45"/>
    <x v="35"/>
    <x v="71"/>
    <x v="2"/>
    <x v="1"/>
    <x v="1"/>
    <x v="5"/>
    <x v="474"/>
    <x v="1"/>
    <x v="1"/>
    <x v="5"/>
  </r>
  <r>
    <x v="186"/>
    <x v="186"/>
    <x v="31"/>
    <x v="0"/>
    <x v="1"/>
    <x v="152"/>
    <x v="27"/>
    <x v="0"/>
    <x v="0"/>
    <x v="1"/>
    <x v="6"/>
    <x v="5"/>
    <x v="3"/>
    <x v="355"/>
    <x v="0"/>
    <x v="470"/>
    <x v="472"/>
    <x v="462"/>
    <x v="3"/>
    <x v="2"/>
    <x v="1"/>
    <x v="1"/>
    <x v="123"/>
    <x v="0"/>
    <x v="0"/>
    <x v="1"/>
  </r>
  <r>
    <x v="187"/>
    <x v="187"/>
    <x v="59"/>
    <x v="0"/>
    <x v="0"/>
    <x v="131"/>
    <x v="7"/>
    <x v="1"/>
    <x v="0"/>
    <x v="1"/>
    <x v="3"/>
    <x v="1"/>
    <x v="4"/>
    <x v="276"/>
    <x v="3"/>
    <x v="467"/>
    <x v="467"/>
    <x v="473"/>
    <x v="0"/>
    <x v="0"/>
    <x v="1"/>
    <x v="5"/>
    <x v="320"/>
    <x v="0"/>
    <x v="0"/>
    <x v="1"/>
  </r>
  <r>
    <x v="188"/>
    <x v="188"/>
    <x v="36"/>
    <x v="0"/>
    <x v="1"/>
    <x v="84"/>
    <x v="24"/>
    <x v="1"/>
    <x v="1"/>
    <x v="1"/>
    <x v="6"/>
    <x v="5"/>
    <x v="1"/>
    <x v="452"/>
    <x v="0"/>
    <x v="402"/>
    <x v="399"/>
    <x v="397"/>
    <x v="1"/>
    <x v="2"/>
    <x v="1"/>
    <x v="3"/>
    <x v="256"/>
    <x v="0"/>
    <x v="1"/>
    <x v="2"/>
  </r>
  <r>
    <x v="189"/>
    <x v="189"/>
    <x v="16"/>
    <x v="1"/>
    <x v="1"/>
    <x v="155"/>
    <x v="46"/>
    <x v="1"/>
    <x v="1"/>
    <x v="4"/>
    <x v="7"/>
    <x v="3"/>
    <x v="1"/>
    <x v="220"/>
    <x v="2"/>
    <x v="273"/>
    <x v="278"/>
    <x v="268"/>
    <x v="3"/>
    <x v="2"/>
    <x v="1"/>
    <x v="3"/>
    <x v="85"/>
    <x v="2"/>
    <x v="1"/>
    <x v="3"/>
  </r>
  <r>
    <x v="190"/>
    <x v="190"/>
    <x v="52"/>
    <x v="0"/>
    <x v="6"/>
    <x v="53"/>
    <x v="21"/>
    <x v="1"/>
    <x v="1"/>
    <x v="1"/>
    <x v="6"/>
    <x v="5"/>
    <x v="0"/>
    <x v="483"/>
    <x v="0"/>
    <x v="263"/>
    <x v="261"/>
    <x v="261"/>
    <x v="3"/>
    <x v="2"/>
    <x v="1"/>
    <x v="0"/>
    <x v="288"/>
    <x v="2"/>
    <x v="1"/>
    <x v="1"/>
  </r>
  <r>
    <x v="191"/>
    <x v="191"/>
    <x v="56"/>
    <x v="0"/>
    <x v="7"/>
    <x v="78"/>
    <x v="46"/>
    <x v="1"/>
    <x v="1"/>
    <x v="3"/>
    <x v="5"/>
    <x v="0"/>
    <x v="1"/>
    <x v="63"/>
    <x v="0"/>
    <x v="188"/>
    <x v="200"/>
    <x v="149"/>
    <x v="2"/>
    <x v="1"/>
    <x v="1"/>
    <x v="5"/>
    <x v="94"/>
    <x v="2"/>
    <x v="1"/>
    <x v="0"/>
  </r>
  <r>
    <x v="192"/>
    <x v="192"/>
    <x v="37"/>
    <x v="0"/>
    <x v="1"/>
    <x v="13"/>
    <x v="6"/>
    <x v="1"/>
    <x v="1"/>
    <x v="1"/>
    <x v="6"/>
    <x v="5"/>
    <x v="1"/>
    <x v="313"/>
    <x v="1"/>
    <x v="341"/>
    <x v="335"/>
    <x v="371"/>
    <x v="3"/>
    <x v="1"/>
    <x v="1"/>
    <x v="0"/>
    <x v="412"/>
    <x v="2"/>
    <x v="1"/>
    <x v="3"/>
  </r>
  <r>
    <x v="193"/>
    <x v="193"/>
    <x v="48"/>
    <x v="0"/>
    <x v="1"/>
    <x v="117"/>
    <x v="7"/>
    <x v="1"/>
    <x v="0"/>
    <x v="1"/>
    <x v="3"/>
    <x v="1"/>
    <x v="2"/>
    <x v="317"/>
    <x v="3"/>
    <x v="419"/>
    <x v="417"/>
    <x v="426"/>
    <x v="3"/>
    <x v="1"/>
    <x v="1"/>
    <x v="3"/>
    <x v="361"/>
    <x v="0"/>
    <x v="0"/>
    <x v="4"/>
  </r>
  <r>
    <x v="194"/>
    <x v="194"/>
    <x v="12"/>
    <x v="1"/>
    <x v="6"/>
    <x v="135"/>
    <x v="16"/>
    <x v="0"/>
    <x v="1"/>
    <x v="3"/>
    <x v="5"/>
    <x v="0"/>
    <x v="1"/>
    <x v="32"/>
    <x v="1"/>
    <x v="120"/>
    <x v="121"/>
    <x v="129"/>
    <x v="1"/>
    <x v="2"/>
    <x v="1"/>
    <x v="0"/>
    <x v="281"/>
    <x v="1"/>
    <x v="1"/>
    <x v="6"/>
  </r>
  <r>
    <x v="195"/>
    <x v="195"/>
    <x v="0"/>
    <x v="1"/>
    <x v="3"/>
    <x v="131"/>
    <x v="46"/>
    <x v="1"/>
    <x v="1"/>
    <x v="1"/>
    <x v="6"/>
    <x v="5"/>
    <x v="0"/>
    <x v="472"/>
    <x v="0"/>
    <x v="261"/>
    <x v="265"/>
    <x v="243"/>
    <x v="3"/>
    <x v="2"/>
    <x v="1"/>
    <x v="3"/>
    <x v="143"/>
    <x v="2"/>
    <x v="1"/>
    <x v="0"/>
  </r>
  <r>
    <x v="196"/>
    <x v="196"/>
    <x v="51"/>
    <x v="0"/>
    <x v="2"/>
    <x v="53"/>
    <x v="14"/>
    <x v="1"/>
    <x v="1"/>
    <x v="1"/>
    <x v="3"/>
    <x v="1"/>
    <x v="0"/>
    <x v="271"/>
    <x v="0"/>
    <x v="165"/>
    <x v="152"/>
    <x v="220"/>
    <x v="1"/>
    <x v="1"/>
    <x v="1"/>
    <x v="1"/>
    <x v="458"/>
    <x v="1"/>
    <x v="1"/>
    <x v="3"/>
  </r>
  <r>
    <x v="197"/>
    <x v="197"/>
    <x v="19"/>
    <x v="1"/>
    <x v="1"/>
    <x v="73"/>
    <x v="4"/>
    <x v="1"/>
    <x v="0"/>
    <x v="3"/>
    <x v="1"/>
    <x v="4"/>
    <x v="2"/>
    <x v="140"/>
    <x v="1"/>
    <x v="304"/>
    <x v="304"/>
    <x v="310"/>
    <x v="2"/>
    <x v="1"/>
    <x v="1"/>
    <x v="1"/>
    <x v="309"/>
    <x v="2"/>
    <x v="0"/>
    <x v="6"/>
  </r>
  <r>
    <x v="198"/>
    <x v="198"/>
    <x v="28"/>
    <x v="1"/>
    <x v="1"/>
    <x v="34"/>
    <x v="23"/>
    <x v="0"/>
    <x v="0"/>
    <x v="1"/>
    <x v="3"/>
    <x v="1"/>
    <x v="2"/>
    <x v="406"/>
    <x v="1"/>
    <x v="442"/>
    <x v="441"/>
    <x v="443"/>
    <x v="1"/>
    <x v="2"/>
    <x v="2"/>
    <x v="3"/>
    <x v="248"/>
    <x v="0"/>
    <x v="0"/>
    <x v="0"/>
  </r>
  <r>
    <x v="199"/>
    <x v="199"/>
    <x v="29"/>
    <x v="1"/>
    <x v="0"/>
    <x v="140"/>
    <x v="2"/>
    <x v="1"/>
    <x v="1"/>
    <x v="3"/>
    <x v="5"/>
    <x v="0"/>
    <x v="1"/>
    <x v="134"/>
    <x v="0"/>
    <x v="257"/>
    <x v="249"/>
    <x v="264"/>
    <x v="2"/>
    <x v="2"/>
    <x v="1"/>
    <x v="2"/>
    <x v="422"/>
    <x v="2"/>
    <x v="1"/>
    <x v="2"/>
  </r>
  <r>
    <x v="200"/>
    <x v="200"/>
    <x v="46"/>
    <x v="0"/>
    <x v="0"/>
    <x v="87"/>
    <x v="6"/>
    <x v="1"/>
    <x v="1"/>
    <x v="1"/>
    <x v="3"/>
    <x v="1"/>
    <x v="0"/>
    <x v="330"/>
    <x v="1"/>
    <x v="172"/>
    <x v="176"/>
    <x v="155"/>
    <x v="2"/>
    <x v="1"/>
    <x v="1"/>
    <x v="0"/>
    <x v="169"/>
    <x v="2"/>
    <x v="1"/>
    <x v="5"/>
  </r>
  <r>
    <x v="201"/>
    <x v="201"/>
    <x v="1"/>
    <x v="1"/>
    <x v="2"/>
    <x v="24"/>
    <x v="35"/>
    <x v="0"/>
    <x v="1"/>
    <x v="1"/>
    <x v="3"/>
    <x v="1"/>
    <x v="1"/>
    <x v="339"/>
    <x v="3"/>
    <x v="319"/>
    <x v="313"/>
    <x v="343"/>
    <x v="2"/>
    <x v="1"/>
    <x v="1"/>
    <x v="0"/>
    <x v="461"/>
    <x v="2"/>
    <x v="1"/>
    <x v="2"/>
  </r>
  <r>
    <x v="202"/>
    <x v="202"/>
    <x v="4"/>
    <x v="1"/>
    <x v="1"/>
    <x v="71"/>
    <x v="20"/>
    <x v="0"/>
    <x v="1"/>
    <x v="1"/>
    <x v="6"/>
    <x v="5"/>
    <x v="0"/>
    <x v="318"/>
    <x v="3"/>
    <x v="119"/>
    <x v="119"/>
    <x v="126"/>
    <x v="3"/>
    <x v="1"/>
    <x v="1"/>
    <x v="0"/>
    <x v="286"/>
    <x v="1"/>
    <x v="1"/>
    <x v="5"/>
  </r>
  <r>
    <x v="203"/>
    <x v="203"/>
    <x v="58"/>
    <x v="0"/>
    <x v="1"/>
    <x v="141"/>
    <x v="14"/>
    <x v="1"/>
    <x v="1"/>
    <x v="1"/>
    <x v="6"/>
    <x v="5"/>
    <x v="1"/>
    <x v="404"/>
    <x v="0"/>
    <x v="389"/>
    <x v="385"/>
    <x v="396"/>
    <x v="2"/>
    <x v="1"/>
    <x v="1"/>
    <x v="3"/>
    <x v="373"/>
    <x v="0"/>
    <x v="1"/>
    <x v="3"/>
  </r>
  <r>
    <x v="204"/>
    <x v="204"/>
    <x v="19"/>
    <x v="1"/>
    <x v="1"/>
    <x v="114"/>
    <x v="40"/>
    <x v="1"/>
    <x v="1"/>
    <x v="1"/>
    <x v="6"/>
    <x v="5"/>
    <x v="1"/>
    <x v="413"/>
    <x v="2"/>
    <x v="349"/>
    <x v="353"/>
    <x v="349"/>
    <x v="1"/>
    <x v="2"/>
    <x v="0"/>
    <x v="4"/>
    <x v="226"/>
    <x v="0"/>
    <x v="1"/>
    <x v="6"/>
  </r>
  <r>
    <x v="205"/>
    <x v="205"/>
    <x v="23"/>
    <x v="1"/>
    <x v="3"/>
    <x v="14"/>
    <x v="10"/>
    <x v="1"/>
    <x v="1"/>
    <x v="3"/>
    <x v="5"/>
    <x v="0"/>
    <x v="1"/>
    <x v="96"/>
    <x v="1"/>
    <x v="200"/>
    <x v="215"/>
    <x v="148"/>
    <x v="3"/>
    <x v="0"/>
    <x v="1"/>
    <x v="4"/>
    <x v="57"/>
    <x v="2"/>
    <x v="1"/>
    <x v="3"/>
  </r>
  <r>
    <x v="206"/>
    <x v="206"/>
    <x v="49"/>
    <x v="0"/>
    <x v="7"/>
    <x v="72"/>
    <x v="49"/>
    <x v="1"/>
    <x v="1"/>
    <x v="3"/>
    <x v="5"/>
    <x v="0"/>
    <x v="0"/>
    <x v="82"/>
    <x v="0"/>
    <x v="61"/>
    <x v="61"/>
    <x v="50"/>
    <x v="1"/>
    <x v="1"/>
    <x v="2"/>
    <x v="1"/>
    <x v="101"/>
    <x v="1"/>
    <x v="1"/>
    <x v="0"/>
  </r>
  <r>
    <x v="207"/>
    <x v="207"/>
    <x v="45"/>
    <x v="0"/>
    <x v="4"/>
    <x v="70"/>
    <x v="9"/>
    <x v="1"/>
    <x v="1"/>
    <x v="1"/>
    <x v="3"/>
    <x v="1"/>
    <x v="1"/>
    <x v="283"/>
    <x v="1"/>
    <x v="332"/>
    <x v="330"/>
    <x v="345"/>
    <x v="3"/>
    <x v="2"/>
    <x v="1"/>
    <x v="5"/>
    <x v="316"/>
    <x v="2"/>
    <x v="1"/>
    <x v="1"/>
  </r>
  <r>
    <x v="208"/>
    <x v="208"/>
    <x v="4"/>
    <x v="1"/>
    <x v="1"/>
    <x v="49"/>
    <x v="15"/>
    <x v="1"/>
    <x v="1"/>
    <x v="3"/>
    <x v="5"/>
    <x v="0"/>
    <x v="0"/>
    <x v="95"/>
    <x v="0"/>
    <x v="66"/>
    <x v="60"/>
    <x v="69"/>
    <x v="3"/>
    <x v="2"/>
    <x v="1"/>
    <x v="3"/>
    <x v="440"/>
    <x v="1"/>
    <x v="1"/>
    <x v="5"/>
  </r>
  <r>
    <x v="209"/>
    <x v="209"/>
    <x v="19"/>
    <x v="1"/>
    <x v="7"/>
    <x v="92"/>
    <x v="40"/>
    <x v="1"/>
    <x v="0"/>
    <x v="1"/>
    <x v="6"/>
    <x v="5"/>
    <x v="3"/>
    <x v="325"/>
    <x v="2"/>
    <x v="455"/>
    <x v="454"/>
    <x v="458"/>
    <x v="0"/>
    <x v="1"/>
    <x v="1"/>
    <x v="1"/>
    <x v="323"/>
    <x v="0"/>
    <x v="0"/>
    <x v="6"/>
  </r>
  <r>
    <x v="210"/>
    <x v="210"/>
    <x v="19"/>
    <x v="1"/>
    <x v="1"/>
    <x v="17"/>
    <x v="7"/>
    <x v="1"/>
    <x v="1"/>
    <x v="4"/>
    <x v="7"/>
    <x v="3"/>
    <x v="1"/>
    <x v="193"/>
    <x v="0"/>
    <x v="274"/>
    <x v="273"/>
    <x v="285"/>
    <x v="0"/>
    <x v="1"/>
    <x v="1"/>
    <x v="1"/>
    <x v="382"/>
    <x v="2"/>
    <x v="1"/>
    <x v="6"/>
  </r>
  <r>
    <x v="211"/>
    <x v="211"/>
    <x v="48"/>
    <x v="0"/>
    <x v="7"/>
    <x v="81"/>
    <x v="33"/>
    <x v="1"/>
    <x v="1"/>
    <x v="3"/>
    <x v="1"/>
    <x v="4"/>
    <x v="1"/>
    <x v="58"/>
    <x v="1"/>
    <x v="149"/>
    <x v="144"/>
    <x v="170"/>
    <x v="2"/>
    <x v="1"/>
    <x v="1"/>
    <x v="4"/>
    <x v="317"/>
    <x v="1"/>
    <x v="1"/>
    <x v="4"/>
  </r>
  <r>
    <x v="212"/>
    <x v="212"/>
    <x v="17"/>
    <x v="1"/>
    <x v="2"/>
    <x v="23"/>
    <x v="28"/>
    <x v="1"/>
    <x v="1"/>
    <x v="4"/>
    <x v="7"/>
    <x v="3"/>
    <x v="1"/>
    <x v="227"/>
    <x v="2"/>
    <x v="281"/>
    <x v="279"/>
    <x v="281"/>
    <x v="1"/>
    <x v="2"/>
    <x v="2"/>
    <x v="0"/>
    <x v="276"/>
    <x v="2"/>
    <x v="1"/>
    <x v="1"/>
  </r>
  <r>
    <x v="213"/>
    <x v="213"/>
    <x v="37"/>
    <x v="0"/>
    <x v="2"/>
    <x v="57"/>
    <x v="32"/>
    <x v="0"/>
    <x v="1"/>
    <x v="1"/>
    <x v="3"/>
    <x v="1"/>
    <x v="1"/>
    <x v="281"/>
    <x v="1"/>
    <x v="331"/>
    <x v="339"/>
    <x v="314"/>
    <x v="3"/>
    <x v="2"/>
    <x v="1"/>
    <x v="3"/>
    <x v="7"/>
    <x v="2"/>
    <x v="1"/>
    <x v="3"/>
  </r>
  <r>
    <x v="214"/>
    <x v="214"/>
    <x v="28"/>
    <x v="1"/>
    <x v="4"/>
    <x v="141"/>
    <x v="6"/>
    <x v="1"/>
    <x v="1"/>
    <x v="1"/>
    <x v="3"/>
    <x v="1"/>
    <x v="0"/>
    <x v="282"/>
    <x v="0"/>
    <x v="182"/>
    <x v="168"/>
    <x v="213"/>
    <x v="3"/>
    <x v="2"/>
    <x v="1"/>
    <x v="4"/>
    <x v="375"/>
    <x v="2"/>
    <x v="1"/>
    <x v="0"/>
  </r>
  <r>
    <x v="215"/>
    <x v="215"/>
    <x v="16"/>
    <x v="1"/>
    <x v="7"/>
    <x v="112"/>
    <x v="37"/>
    <x v="1"/>
    <x v="1"/>
    <x v="1"/>
    <x v="3"/>
    <x v="1"/>
    <x v="0"/>
    <x v="329"/>
    <x v="0"/>
    <x v="218"/>
    <x v="221"/>
    <x v="190"/>
    <x v="2"/>
    <x v="2"/>
    <x v="1"/>
    <x v="3"/>
    <x v="179"/>
    <x v="2"/>
    <x v="1"/>
    <x v="3"/>
  </r>
  <r>
    <x v="216"/>
    <x v="216"/>
    <x v="18"/>
    <x v="1"/>
    <x v="5"/>
    <x v="117"/>
    <x v="47"/>
    <x v="1"/>
    <x v="0"/>
    <x v="1"/>
    <x v="3"/>
    <x v="1"/>
    <x v="2"/>
    <x v="385"/>
    <x v="1"/>
    <x v="440"/>
    <x v="440"/>
    <x v="434"/>
    <x v="1"/>
    <x v="1"/>
    <x v="1"/>
    <x v="4"/>
    <x v="150"/>
    <x v="0"/>
    <x v="0"/>
    <x v="5"/>
  </r>
  <r>
    <x v="217"/>
    <x v="217"/>
    <x v="42"/>
    <x v="0"/>
    <x v="7"/>
    <x v="79"/>
    <x v="33"/>
    <x v="1"/>
    <x v="0"/>
    <x v="1"/>
    <x v="6"/>
    <x v="5"/>
    <x v="2"/>
    <x v="402"/>
    <x v="1"/>
    <x v="441"/>
    <x v="442"/>
    <x v="440"/>
    <x v="2"/>
    <x v="1"/>
    <x v="1"/>
    <x v="4"/>
    <x v="214"/>
    <x v="0"/>
    <x v="0"/>
    <x v="0"/>
  </r>
  <r>
    <x v="218"/>
    <x v="218"/>
    <x v="6"/>
    <x v="1"/>
    <x v="7"/>
    <x v="65"/>
    <x v="45"/>
    <x v="0"/>
    <x v="1"/>
    <x v="3"/>
    <x v="5"/>
    <x v="0"/>
    <x v="0"/>
    <x v="97"/>
    <x v="0"/>
    <x v="67"/>
    <x v="64"/>
    <x v="68"/>
    <x v="1"/>
    <x v="1"/>
    <x v="1"/>
    <x v="4"/>
    <x v="378"/>
    <x v="1"/>
    <x v="1"/>
    <x v="4"/>
  </r>
  <r>
    <x v="219"/>
    <x v="219"/>
    <x v="11"/>
    <x v="1"/>
    <x v="6"/>
    <x v="121"/>
    <x v="6"/>
    <x v="1"/>
    <x v="1"/>
    <x v="4"/>
    <x v="7"/>
    <x v="3"/>
    <x v="1"/>
    <x v="229"/>
    <x v="0"/>
    <x v="294"/>
    <x v="295"/>
    <x v="290"/>
    <x v="3"/>
    <x v="0"/>
    <x v="1"/>
    <x v="5"/>
    <x v="182"/>
    <x v="2"/>
    <x v="1"/>
    <x v="5"/>
  </r>
  <r>
    <x v="220"/>
    <x v="220"/>
    <x v="44"/>
    <x v="0"/>
    <x v="7"/>
    <x v="43"/>
    <x v="38"/>
    <x v="1"/>
    <x v="1"/>
    <x v="1"/>
    <x v="6"/>
    <x v="5"/>
    <x v="0"/>
    <x v="468"/>
    <x v="1"/>
    <x v="241"/>
    <x v="255"/>
    <x v="177"/>
    <x v="3"/>
    <x v="1"/>
    <x v="1"/>
    <x v="0"/>
    <x v="3"/>
    <x v="2"/>
    <x v="1"/>
    <x v="3"/>
  </r>
  <r>
    <x v="221"/>
    <x v="221"/>
    <x v="18"/>
    <x v="1"/>
    <x v="6"/>
    <x v="11"/>
    <x v="48"/>
    <x v="1"/>
    <x v="1"/>
    <x v="3"/>
    <x v="1"/>
    <x v="4"/>
    <x v="0"/>
    <x v="169"/>
    <x v="0"/>
    <x v="81"/>
    <x v="80"/>
    <x v="86"/>
    <x v="1"/>
    <x v="1"/>
    <x v="1"/>
    <x v="2"/>
    <x v="436"/>
    <x v="1"/>
    <x v="1"/>
    <x v="5"/>
  </r>
  <r>
    <x v="222"/>
    <x v="222"/>
    <x v="53"/>
    <x v="0"/>
    <x v="0"/>
    <x v="87"/>
    <x v="29"/>
    <x v="0"/>
    <x v="1"/>
    <x v="1"/>
    <x v="6"/>
    <x v="5"/>
    <x v="0"/>
    <x v="360"/>
    <x v="1"/>
    <x v="190"/>
    <x v="182"/>
    <x v="212"/>
    <x v="3"/>
    <x v="1"/>
    <x v="1"/>
    <x v="0"/>
    <x v="332"/>
    <x v="2"/>
    <x v="1"/>
    <x v="5"/>
  </r>
  <r>
    <x v="223"/>
    <x v="223"/>
    <x v="29"/>
    <x v="1"/>
    <x v="2"/>
    <x v="109"/>
    <x v="22"/>
    <x v="1"/>
    <x v="1"/>
    <x v="1"/>
    <x v="6"/>
    <x v="5"/>
    <x v="1"/>
    <x v="300"/>
    <x v="0"/>
    <x v="367"/>
    <x v="359"/>
    <x v="377"/>
    <x v="2"/>
    <x v="0"/>
    <x v="1"/>
    <x v="2"/>
    <x v="325"/>
    <x v="0"/>
    <x v="1"/>
    <x v="2"/>
  </r>
  <r>
    <x v="224"/>
    <x v="224"/>
    <x v="59"/>
    <x v="0"/>
    <x v="6"/>
    <x v="93"/>
    <x v="41"/>
    <x v="1"/>
    <x v="0"/>
    <x v="1"/>
    <x v="6"/>
    <x v="5"/>
    <x v="2"/>
    <x v="295"/>
    <x v="3"/>
    <x v="416"/>
    <x v="418"/>
    <x v="415"/>
    <x v="2"/>
    <x v="2"/>
    <x v="1"/>
    <x v="3"/>
    <x v="205"/>
    <x v="0"/>
    <x v="0"/>
    <x v="1"/>
  </r>
  <r>
    <x v="225"/>
    <x v="225"/>
    <x v="56"/>
    <x v="0"/>
    <x v="4"/>
    <x v="8"/>
    <x v="14"/>
    <x v="1"/>
    <x v="1"/>
    <x v="1"/>
    <x v="6"/>
    <x v="5"/>
    <x v="0"/>
    <x v="436"/>
    <x v="0"/>
    <x v="251"/>
    <x v="259"/>
    <x v="204"/>
    <x v="3"/>
    <x v="0"/>
    <x v="1"/>
    <x v="1"/>
    <x v="44"/>
    <x v="2"/>
    <x v="1"/>
    <x v="0"/>
  </r>
  <r>
    <x v="226"/>
    <x v="226"/>
    <x v="18"/>
    <x v="1"/>
    <x v="1"/>
    <x v="133"/>
    <x v="13"/>
    <x v="0"/>
    <x v="0"/>
    <x v="5"/>
    <x v="8"/>
    <x v="6"/>
    <x v="4"/>
    <x v="15"/>
    <x v="3"/>
    <x v="105"/>
    <x v="97"/>
    <x v="231"/>
    <x v="3"/>
    <x v="2"/>
    <x v="1"/>
    <x v="5"/>
    <x v="481"/>
    <x v="1"/>
    <x v="0"/>
    <x v="5"/>
  </r>
  <r>
    <x v="227"/>
    <x v="227"/>
    <x v="33"/>
    <x v="0"/>
    <x v="2"/>
    <x v="1"/>
    <x v="46"/>
    <x v="1"/>
    <x v="0"/>
    <x v="3"/>
    <x v="5"/>
    <x v="0"/>
    <x v="4"/>
    <x v="109"/>
    <x v="2"/>
    <x v="409"/>
    <x v="412"/>
    <x v="392"/>
    <x v="3"/>
    <x v="1"/>
    <x v="1"/>
    <x v="0"/>
    <x v="21"/>
    <x v="0"/>
    <x v="0"/>
    <x v="6"/>
  </r>
  <r>
    <x v="228"/>
    <x v="228"/>
    <x v="39"/>
    <x v="0"/>
    <x v="6"/>
    <x v="52"/>
    <x v="10"/>
    <x v="1"/>
    <x v="0"/>
    <x v="1"/>
    <x v="6"/>
    <x v="5"/>
    <x v="2"/>
    <x v="465"/>
    <x v="1"/>
    <x v="448"/>
    <x v="446"/>
    <x v="452"/>
    <x v="2"/>
    <x v="2"/>
    <x v="1"/>
    <x v="2"/>
    <x v="404"/>
    <x v="0"/>
    <x v="0"/>
    <x v="5"/>
  </r>
  <r>
    <x v="229"/>
    <x v="229"/>
    <x v="18"/>
    <x v="1"/>
    <x v="4"/>
    <x v="7"/>
    <x v="29"/>
    <x v="0"/>
    <x v="1"/>
    <x v="3"/>
    <x v="1"/>
    <x v="4"/>
    <x v="0"/>
    <x v="104"/>
    <x v="2"/>
    <x v="49"/>
    <x v="49"/>
    <x v="46"/>
    <x v="3"/>
    <x v="2"/>
    <x v="1"/>
    <x v="5"/>
    <x v="197"/>
    <x v="1"/>
    <x v="1"/>
    <x v="5"/>
  </r>
  <r>
    <x v="230"/>
    <x v="230"/>
    <x v="37"/>
    <x v="0"/>
    <x v="1"/>
    <x v="139"/>
    <x v="36"/>
    <x v="0"/>
    <x v="1"/>
    <x v="5"/>
    <x v="8"/>
    <x v="6"/>
    <x v="1"/>
    <x v="16"/>
    <x v="0"/>
    <x v="21"/>
    <x v="20"/>
    <x v="66"/>
    <x v="3"/>
    <x v="2"/>
    <x v="1"/>
    <x v="3"/>
    <x v="482"/>
    <x v="1"/>
    <x v="1"/>
    <x v="3"/>
  </r>
  <r>
    <x v="231"/>
    <x v="231"/>
    <x v="6"/>
    <x v="1"/>
    <x v="2"/>
    <x v="2"/>
    <x v="42"/>
    <x v="0"/>
    <x v="1"/>
    <x v="3"/>
    <x v="5"/>
    <x v="0"/>
    <x v="1"/>
    <x v="45"/>
    <x v="2"/>
    <x v="121"/>
    <x v="124"/>
    <x v="105"/>
    <x v="3"/>
    <x v="2"/>
    <x v="1"/>
    <x v="3"/>
    <x v="28"/>
    <x v="1"/>
    <x v="1"/>
    <x v="4"/>
  </r>
  <r>
    <x v="232"/>
    <x v="232"/>
    <x v="35"/>
    <x v="0"/>
    <x v="2"/>
    <x v="6"/>
    <x v="48"/>
    <x v="1"/>
    <x v="0"/>
    <x v="1"/>
    <x v="3"/>
    <x v="1"/>
    <x v="2"/>
    <x v="396"/>
    <x v="2"/>
    <x v="434"/>
    <x v="432"/>
    <x v="442"/>
    <x v="2"/>
    <x v="1"/>
    <x v="1"/>
    <x v="4"/>
    <x v="399"/>
    <x v="0"/>
    <x v="0"/>
    <x v="0"/>
  </r>
  <r>
    <x v="233"/>
    <x v="233"/>
    <x v="35"/>
    <x v="0"/>
    <x v="4"/>
    <x v="147"/>
    <x v="15"/>
    <x v="1"/>
    <x v="1"/>
    <x v="1"/>
    <x v="3"/>
    <x v="1"/>
    <x v="0"/>
    <x v="389"/>
    <x v="1"/>
    <x v="207"/>
    <x v="211"/>
    <x v="181"/>
    <x v="1"/>
    <x v="0"/>
    <x v="1"/>
    <x v="2"/>
    <x v="173"/>
    <x v="2"/>
    <x v="1"/>
    <x v="0"/>
  </r>
  <r>
    <x v="234"/>
    <x v="234"/>
    <x v="19"/>
    <x v="1"/>
    <x v="4"/>
    <x v="141"/>
    <x v="4"/>
    <x v="1"/>
    <x v="1"/>
    <x v="1"/>
    <x v="3"/>
    <x v="1"/>
    <x v="0"/>
    <x v="261"/>
    <x v="0"/>
    <x v="153"/>
    <x v="147"/>
    <x v="195"/>
    <x v="0"/>
    <x v="2"/>
    <x v="1"/>
    <x v="1"/>
    <x v="390"/>
    <x v="1"/>
    <x v="1"/>
    <x v="6"/>
  </r>
  <r>
    <x v="235"/>
    <x v="235"/>
    <x v="57"/>
    <x v="0"/>
    <x v="7"/>
    <x v="55"/>
    <x v="18"/>
    <x v="0"/>
    <x v="0"/>
    <x v="1"/>
    <x v="3"/>
    <x v="1"/>
    <x v="3"/>
    <x v="314"/>
    <x v="1"/>
    <x v="460"/>
    <x v="462"/>
    <x v="461"/>
    <x v="2"/>
    <x v="2"/>
    <x v="1"/>
    <x v="2"/>
    <x v="271"/>
    <x v="0"/>
    <x v="0"/>
    <x v="2"/>
  </r>
  <r>
    <x v="236"/>
    <x v="236"/>
    <x v="27"/>
    <x v="1"/>
    <x v="2"/>
    <x v="158"/>
    <x v="7"/>
    <x v="1"/>
    <x v="1"/>
    <x v="3"/>
    <x v="1"/>
    <x v="4"/>
    <x v="1"/>
    <x v="103"/>
    <x v="0"/>
    <x v="238"/>
    <x v="241"/>
    <x v="201"/>
    <x v="3"/>
    <x v="2"/>
    <x v="1"/>
    <x v="4"/>
    <x v="127"/>
    <x v="2"/>
    <x v="1"/>
    <x v="4"/>
  </r>
  <r>
    <x v="237"/>
    <x v="237"/>
    <x v="17"/>
    <x v="1"/>
    <x v="4"/>
    <x v="47"/>
    <x v="23"/>
    <x v="0"/>
    <x v="1"/>
    <x v="3"/>
    <x v="5"/>
    <x v="0"/>
    <x v="0"/>
    <x v="132"/>
    <x v="2"/>
    <x v="58"/>
    <x v="55"/>
    <x v="62"/>
    <x v="3"/>
    <x v="2"/>
    <x v="1"/>
    <x v="0"/>
    <x v="329"/>
    <x v="1"/>
    <x v="1"/>
    <x v="1"/>
  </r>
  <r>
    <x v="238"/>
    <x v="238"/>
    <x v="26"/>
    <x v="1"/>
    <x v="7"/>
    <x v="143"/>
    <x v="5"/>
    <x v="0"/>
    <x v="1"/>
    <x v="4"/>
    <x v="7"/>
    <x v="3"/>
    <x v="0"/>
    <x v="156"/>
    <x v="0"/>
    <x v="77"/>
    <x v="74"/>
    <x v="82"/>
    <x v="1"/>
    <x v="1"/>
    <x v="1"/>
    <x v="3"/>
    <x v="460"/>
    <x v="1"/>
    <x v="1"/>
    <x v="6"/>
  </r>
  <r>
    <x v="239"/>
    <x v="239"/>
    <x v="55"/>
    <x v="0"/>
    <x v="4"/>
    <x v="26"/>
    <x v="9"/>
    <x v="1"/>
    <x v="0"/>
    <x v="1"/>
    <x v="3"/>
    <x v="1"/>
    <x v="3"/>
    <x v="411"/>
    <x v="2"/>
    <x v="463"/>
    <x v="460"/>
    <x v="472"/>
    <x v="3"/>
    <x v="2"/>
    <x v="1"/>
    <x v="3"/>
    <x v="447"/>
    <x v="0"/>
    <x v="0"/>
    <x v="4"/>
  </r>
  <r>
    <x v="240"/>
    <x v="240"/>
    <x v="6"/>
    <x v="1"/>
    <x v="1"/>
    <x v="89"/>
    <x v="42"/>
    <x v="0"/>
    <x v="1"/>
    <x v="1"/>
    <x v="3"/>
    <x v="1"/>
    <x v="0"/>
    <x v="305"/>
    <x v="1"/>
    <x v="163"/>
    <x v="161"/>
    <x v="185"/>
    <x v="2"/>
    <x v="1"/>
    <x v="1"/>
    <x v="3"/>
    <x v="313"/>
    <x v="1"/>
    <x v="1"/>
    <x v="4"/>
  </r>
  <r>
    <x v="241"/>
    <x v="241"/>
    <x v="5"/>
    <x v="1"/>
    <x v="0"/>
    <x v="157"/>
    <x v="15"/>
    <x v="1"/>
    <x v="1"/>
    <x v="1"/>
    <x v="3"/>
    <x v="1"/>
    <x v="1"/>
    <x v="290"/>
    <x v="2"/>
    <x v="322"/>
    <x v="321"/>
    <x v="336"/>
    <x v="0"/>
    <x v="2"/>
    <x v="2"/>
    <x v="1"/>
    <x v="346"/>
    <x v="2"/>
    <x v="1"/>
    <x v="6"/>
  </r>
  <r>
    <x v="242"/>
    <x v="242"/>
    <x v="58"/>
    <x v="0"/>
    <x v="6"/>
    <x v="29"/>
    <x v="16"/>
    <x v="0"/>
    <x v="1"/>
    <x v="6"/>
    <x v="4"/>
    <x v="1"/>
    <x v="0"/>
    <x v="201"/>
    <x v="1"/>
    <x v="90"/>
    <x v="89"/>
    <x v="91"/>
    <x v="3"/>
    <x v="2"/>
    <x v="1"/>
    <x v="3"/>
    <x v="312"/>
    <x v="1"/>
    <x v="1"/>
    <x v="3"/>
  </r>
  <r>
    <x v="243"/>
    <x v="243"/>
    <x v="11"/>
    <x v="1"/>
    <x v="1"/>
    <x v="60"/>
    <x v="15"/>
    <x v="1"/>
    <x v="1"/>
    <x v="5"/>
    <x v="8"/>
    <x v="6"/>
    <x v="1"/>
    <x v="11"/>
    <x v="1"/>
    <x v="18"/>
    <x v="18"/>
    <x v="19"/>
    <x v="3"/>
    <x v="1"/>
    <x v="1"/>
    <x v="4"/>
    <x v="476"/>
    <x v="1"/>
    <x v="1"/>
    <x v="5"/>
  </r>
  <r>
    <x v="244"/>
    <x v="244"/>
    <x v="2"/>
    <x v="1"/>
    <x v="1"/>
    <x v="117"/>
    <x v="25"/>
    <x v="0"/>
    <x v="1"/>
    <x v="4"/>
    <x v="7"/>
    <x v="3"/>
    <x v="1"/>
    <x v="202"/>
    <x v="0"/>
    <x v="284"/>
    <x v="284"/>
    <x v="274"/>
    <x v="3"/>
    <x v="2"/>
    <x v="1"/>
    <x v="3"/>
    <x v="58"/>
    <x v="2"/>
    <x v="1"/>
    <x v="3"/>
  </r>
  <r>
    <x v="245"/>
    <x v="245"/>
    <x v="39"/>
    <x v="0"/>
    <x v="5"/>
    <x v="62"/>
    <x v="43"/>
    <x v="0"/>
    <x v="1"/>
    <x v="1"/>
    <x v="6"/>
    <x v="5"/>
    <x v="0"/>
    <x v="383"/>
    <x v="1"/>
    <x v="206"/>
    <x v="201"/>
    <x v="194"/>
    <x v="3"/>
    <x v="2"/>
    <x v="1"/>
    <x v="0"/>
    <x v="220"/>
    <x v="2"/>
    <x v="1"/>
    <x v="5"/>
  </r>
  <r>
    <x v="246"/>
    <x v="246"/>
    <x v="56"/>
    <x v="0"/>
    <x v="2"/>
    <x v="56"/>
    <x v="18"/>
    <x v="0"/>
    <x v="0"/>
    <x v="3"/>
    <x v="1"/>
    <x v="4"/>
    <x v="3"/>
    <x v="47"/>
    <x v="2"/>
    <x v="317"/>
    <x v="320"/>
    <x v="301"/>
    <x v="2"/>
    <x v="1"/>
    <x v="1"/>
    <x v="1"/>
    <x v="52"/>
    <x v="2"/>
    <x v="0"/>
    <x v="0"/>
  </r>
  <r>
    <x v="247"/>
    <x v="247"/>
    <x v="0"/>
    <x v="1"/>
    <x v="0"/>
    <x v="104"/>
    <x v="36"/>
    <x v="0"/>
    <x v="0"/>
    <x v="5"/>
    <x v="8"/>
    <x v="6"/>
    <x v="4"/>
    <x v="17"/>
    <x v="1"/>
    <x v="150"/>
    <x v="114"/>
    <x v="276"/>
    <x v="3"/>
    <x v="2"/>
    <x v="1"/>
    <x v="1"/>
    <x v="483"/>
    <x v="1"/>
    <x v="0"/>
    <x v="0"/>
  </r>
  <r>
    <x v="248"/>
    <x v="248"/>
    <x v="18"/>
    <x v="1"/>
    <x v="2"/>
    <x v="120"/>
    <x v="43"/>
    <x v="0"/>
    <x v="1"/>
    <x v="6"/>
    <x v="4"/>
    <x v="1"/>
    <x v="0"/>
    <x v="233"/>
    <x v="0"/>
    <x v="101"/>
    <x v="102"/>
    <x v="99"/>
    <x v="3"/>
    <x v="1"/>
    <x v="1"/>
    <x v="1"/>
    <x v="164"/>
    <x v="1"/>
    <x v="1"/>
    <x v="5"/>
  </r>
  <r>
    <x v="249"/>
    <x v="249"/>
    <x v="9"/>
    <x v="1"/>
    <x v="6"/>
    <x v="129"/>
    <x v="38"/>
    <x v="1"/>
    <x v="1"/>
    <x v="1"/>
    <x v="3"/>
    <x v="1"/>
    <x v="1"/>
    <x v="340"/>
    <x v="1"/>
    <x v="352"/>
    <x v="354"/>
    <x v="350"/>
    <x v="2"/>
    <x v="0"/>
    <x v="1"/>
    <x v="5"/>
    <x v="231"/>
    <x v="0"/>
    <x v="1"/>
    <x v="3"/>
  </r>
  <r>
    <x v="250"/>
    <x v="250"/>
    <x v="48"/>
    <x v="0"/>
    <x v="7"/>
    <x v="93"/>
    <x v="26"/>
    <x v="0"/>
    <x v="0"/>
    <x v="1"/>
    <x v="6"/>
    <x v="5"/>
    <x v="2"/>
    <x v="392"/>
    <x v="2"/>
    <x v="433"/>
    <x v="434"/>
    <x v="435"/>
    <x v="1"/>
    <x v="2"/>
    <x v="1"/>
    <x v="1"/>
    <x v="293"/>
    <x v="0"/>
    <x v="0"/>
    <x v="4"/>
  </r>
  <r>
    <x v="251"/>
    <x v="251"/>
    <x v="45"/>
    <x v="0"/>
    <x v="4"/>
    <x v="94"/>
    <x v="6"/>
    <x v="1"/>
    <x v="1"/>
    <x v="3"/>
    <x v="1"/>
    <x v="4"/>
    <x v="1"/>
    <x v="120"/>
    <x v="0"/>
    <x v="252"/>
    <x v="252"/>
    <x v="250"/>
    <x v="3"/>
    <x v="2"/>
    <x v="1"/>
    <x v="2"/>
    <x v="264"/>
    <x v="2"/>
    <x v="1"/>
    <x v="1"/>
  </r>
  <r>
    <x v="252"/>
    <x v="252"/>
    <x v="58"/>
    <x v="0"/>
    <x v="4"/>
    <x v="57"/>
    <x v="38"/>
    <x v="1"/>
    <x v="1"/>
    <x v="3"/>
    <x v="5"/>
    <x v="0"/>
    <x v="0"/>
    <x v="126"/>
    <x v="0"/>
    <x v="73"/>
    <x v="72"/>
    <x v="77"/>
    <x v="1"/>
    <x v="1"/>
    <x v="1"/>
    <x v="4"/>
    <x v="371"/>
    <x v="1"/>
    <x v="1"/>
    <x v="3"/>
  </r>
  <r>
    <x v="253"/>
    <x v="253"/>
    <x v="11"/>
    <x v="1"/>
    <x v="1"/>
    <x v="135"/>
    <x v="27"/>
    <x v="0"/>
    <x v="0"/>
    <x v="1"/>
    <x v="3"/>
    <x v="1"/>
    <x v="4"/>
    <x v="327"/>
    <x v="1"/>
    <x v="485"/>
    <x v="486"/>
    <x v="481"/>
    <x v="2"/>
    <x v="1"/>
    <x v="1"/>
    <x v="1"/>
    <x v="103"/>
    <x v="0"/>
    <x v="0"/>
    <x v="5"/>
  </r>
  <r>
    <x v="254"/>
    <x v="254"/>
    <x v="13"/>
    <x v="1"/>
    <x v="7"/>
    <x v="141"/>
    <x v="44"/>
    <x v="0"/>
    <x v="1"/>
    <x v="1"/>
    <x v="6"/>
    <x v="5"/>
    <x v="0"/>
    <x v="469"/>
    <x v="3"/>
    <x v="173"/>
    <x v="183"/>
    <x v="141"/>
    <x v="3"/>
    <x v="2"/>
    <x v="1"/>
    <x v="1"/>
    <x v="100"/>
    <x v="2"/>
    <x v="1"/>
    <x v="4"/>
  </r>
  <r>
    <x v="255"/>
    <x v="255"/>
    <x v="41"/>
    <x v="0"/>
    <x v="0"/>
    <x v="9"/>
    <x v="48"/>
    <x v="1"/>
    <x v="0"/>
    <x v="4"/>
    <x v="7"/>
    <x v="3"/>
    <x v="4"/>
    <x v="197"/>
    <x v="1"/>
    <x v="447"/>
    <x v="449"/>
    <x v="441"/>
    <x v="2"/>
    <x v="2"/>
    <x v="1"/>
    <x v="2"/>
    <x v="98"/>
    <x v="0"/>
    <x v="0"/>
    <x v="4"/>
  </r>
  <r>
    <x v="256"/>
    <x v="256"/>
    <x v="44"/>
    <x v="0"/>
    <x v="7"/>
    <x v="150"/>
    <x v="36"/>
    <x v="0"/>
    <x v="1"/>
    <x v="1"/>
    <x v="6"/>
    <x v="5"/>
    <x v="0"/>
    <x v="463"/>
    <x v="0"/>
    <x v="258"/>
    <x v="262"/>
    <x v="225"/>
    <x v="2"/>
    <x v="2"/>
    <x v="1"/>
    <x v="2"/>
    <x v="78"/>
    <x v="2"/>
    <x v="1"/>
    <x v="3"/>
  </r>
  <r>
    <x v="257"/>
    <x v="257"/>
    <x v="9"/>
    <x v="1"/>
    <x v="1"/>
    <x v="151"/>
    <x v="30"/>
    <x v="0"/>
    <x v="1"/>
    <x v="1"/>
    <x v="3"/>
    <x v="1"/>
    <x v="0"/>
    <x v="407"/>
    <x v="1"/>
    <x v="219"/>
    <x v="227"/>
    <x v="160"/>
    <x v="3"/>
    <x v="2"/>
    <x v="0"/>
    <x v="4"/>
    <x v="59"/>
    <x v="2"/>
    <x v="1"/>
    <x v="3"/>
  </r>
  <r>
    <x v="258"/>
    <x v="258"/>
    <x v="3"/>
    <x v="1"/>
    <x v="1"/>
    <x v="34"/>
    <x v="6"/>
    <x v="1"/>
    <x v="0"/>
    <x v="1"/>
    <x v="6"/>
    <x v="5"/>
    <x v="4"/>
    <x v="462"/>
    <x v="1"/>
    <x v="497"/>
    <x v="499"/>
    <x v="488"/>
    <x v="3"/>
    <x v="2"/>
    <x v="1"/>
    <x v="0"/>
    <x v="6"/>
    <x v="0"/>
    <x v="0"/>
    <x v="1"/>
  </r>
  <r>
    <x v="259"/>
    <x v="259"/>
    <x v="50"/>
    <x v="0"/>
    <x v="3"/>
    <x v="11"/>
    <x v="19"/>
    <x v="0"/>
    <x v="1"/>
    <x v="1"/>
    <x v="3"/>
    <x v="1"/>
    <x v="1"/>
    <x v="421"/>
    <x v="2"/>
    <x v="354"/>
    <x v="348"/>
    <x v="373"/>
    <x v="3"/>
    <x v="2"/>
    <x v="0"/>
    <x v="1"/>
    <x v="368"/>
    <x v="0"/>
    <x v="1"/>
    <x v="2"/>
  </r>
  <r>
    <x v="260"/>
    <x v="260"/>
    <x v="3"/>
    <x v="1"/>
    <x v="7"/>
    <x v="105"/>
    <x v="13"/>
    <x v="0"/>
    <x v="1"/>
    <x v="2"/>
    <x v="0"/>
    <x v="2"/>
    <x v="0"/>
    <x v="5"/>
    <x v="1"/>
    <x v="2"/>
    <x v="2"/>
    <x v="3"/>
    <x v="3"/>
    <x v="2"/>
    <x v="1"/>
    <x v="2"/>
    <x v="498"/>
    <x v="1"/>
    <x v="1"/>
    <x v="1"/>
  </r>
  <r>
    <x v="261"/>
    <x v="261"/>
    <x v="41"/>
    <x v="0"/>
    <x v="7"/>
    <x v="40"/>
    <x v="39"/>
    <x v="0"/>
    <x v="1"/>
    <x v="4"/>
    <x v="7"/>
    <x v="3"/>
    <x v="1"/>
    <x v="216"/>
    <x v="1"/>
    <x v="283"/>
    <x v="283"/>
    <x v="273"/>
    <x v="2"/>
    <x v="2"/>
    <x v="1"/>
    <x v="1"/>
    <x v="73"/>
    <x v="2"/>
    <x v="1"/>
    <x v="4"/>
  </r>
  <r>
    <x v="262"/>
    <x v="262"/>
    <x v="35"/>
    <x v="0"/>
    <x v="1"/>
    <x v="65"/>
    <x v="10"/>
    <x v="1"/>
    <x v="1"/>
    <x v="1"/>
    <x v="6"/>
    <x v="5"/>
    <x v="1"/>
    <x v="434"/>
    <x v="2"/>
    <x v="357"/>
    <x v="365"/>
    <x v="329"/>
    <x v="0"/>
    <x v="1"/>
    <x v="1"/>
    <x v="0"/>
    <x v="37"/>
    <x v="0"/>
    <x v="1"/>
    <x v="0"/>
  </r>
  <r>
    <x v="263"/>
    <x v="263"/>
    <x v="7"/>
    <x v="1"/>
    <x v="2"/>
    <x v="137"/>
    <x v="29"/>
    <x v="0"/>
    <x v="1"/>
    <x v="1"/>
    <x v="6"/>
    <x v="5"/>
    <x v="1"/>
    <x v="477"/>
    <x v="0"/>
    <x v="405"/>
    <x v="407"/>
    <x v="376"/>
    <x v="2"/>
    <x v="0"/>
    <x v="1"/>
    <x v="0"/>
    <x v="0"/>
    <x v="0"/>
    <x v="1"/>
    <x v="0"/>
  </r>
  <r>
    <x v="264"/>
    <x v="264"/>
    <x v="41"/>
    <x v="0"/>
    <x v="1"/>
    <x v="46"/>
    <x v="2"/>
    <x v="1"/>
    <x v="0"/>
    <x v="1"/>
    <x v="3"/>
    <x v="1"/>
    <x v="3"/>
    <x v="424"/>
    <x v="0"/>
    <x v="477"/>
    <x v="475"/>
    <x v="484"/>
    <x v="3"/>
    <x v="2"/>
    <x v="2"/>
    <x v="5"/>
    <x v="389"/>
    <x v="0"/>
    <x v="0"/>
    <x v="4"/>
  </r>
  <r>
    <x v="265"/>
    <x v="265"/>
    <x v="24"/>
    <x v="1"/>
    <x v="1"/>
    <x v="153"/>
    <x v="39"/>
    <x v="0"/>
    <x v="1"/>
    <x v="1"/>
    <x v="6"/>
    <x v="5"/>
    <x v="1"/>
    <x v="428"/>
    <x v="1"/>
    <x v="376"/>
    <x v="376"/>
    <x v="388"/>
    <x v="2"/>
    <x v="1"/>
    <x v="1"/>
    <x v="4"/>
    <x v="338"/>
    <x v="0"/>
    <x v="1"/>
    <x v="1"/>
  </r>
  <r>
    <x v="266"/>
    <x v="266"/>
    <x v="53"/>
    <x v="0"/>
    <x v="2"/>
    <x v="96"/>
    <x v="27"/>
    <x v="0"/>
    <x v="0"/>
    <x v="1"/>
    <x v="6"/>
    <x v="5"/>
    <x v="3"/>
    <x v="455"/>
    <x v="1"/>
    <x v="475"/>
    <x v="471"/>
    <x v="480"/>
    <x v="1"/>
    <x v="0"/>
    <x v="1"/>
    <x v="3"/>
    <x v="398"/>
    <x v="0"/>
    <x v="0"/>
    <x v="5"/>
  </r>
  <r>
    <x v="267"/>
    <x v="267"/>
    <x v="21"/>
    <x v="1"/>
    <x v="6"/>
    <x v="113"/>
    <x v="17"/>
    <x v="1"/>
    <x v="1"/>
    <x v="4"/>
    <x v="7"/>
    <x v="3"/>
    <x v="1"/>
    <x v="179"/>
    <x v="1"/>
    <x v="268"/>
    <x v="268"/>
    <x v="251"/>
    <x v="3"/>
    <x v="0"/>
    <x v="1"/>
    <x v="3"/>
    <x v="129"/>
    <x v="2"/>
    <x v="1"/>
    <x v="0"/>
  </r>
  <r>
    <x v="268"/>
    <x v="268"/>
    <x v="8"/>
    <x v="1"/>
    <x v="2"/>
    <x v="115"/>
    <x v="48"/>
    <x v="1"/>
    <x v="1"/>
    <x v="1"/>
    <x v="3"/>
    <x v="1"/>
    <x v="1"/>
    <x v="279"/>
    <x v="1"/>
    <x v="329"/>
    <x v="324"/>
    <x v="356"/>
    <x v="1"/>
    <x v="2"/>
    <x v="1"/>
    <x v="3"/>
    <x v="416"/>
    <x v="2"/>
    <x v="1"/>
    <x v="2"/>
  </r>
  <r>
    <x v="269"/>
    <x v="269"/>
    <x v="43"/>
    <x v="0"/>
    <x v="6"/>
    <x v="155"/>
    <x v="41"/>
    <x v="1"/>
    <x v="1"/>
    <x v="3"/>
    <x v="1"/>
    <x v="4"/>
    <x v="0"/>
    <x v="80"/>
    <x v="2"/>
    <x v="37"/>
    <x v="38"/>
    <x v="37"/>
    <x v="3"/>
    <x v="1"/>
    <x v="1"/>
    <x v="2"/>
    <x v="212"/>
    <x v="1"/>
    <x v="1"/>
    <x v="2"/>
  </r>
  <r>
    <x v="270"/>
    <x v="270"/>
    <x v="49"/>
    <x v="0"/>
    <x v="4"/>
    <x v="65"/>
    <x v="19"/>
    <x v="0"/>
    <x v="1"/>
    <x v="3"/>
    <x v="5"/>
    <x v="0"/>
    <x v="0"/>
    <x v="30"/>
    <x v="3"/>
    <x v="20"/>
    <x v="21"/>
    <x v="21"/>
    <x v="1"/>
    <x v="2"/>
    <x v="1"/>
    <x v="0"/>
    <x v="341"/>
    <x v="1"/>
    <x v="1"/>
    <x v="0"/>
  </r>
  <r>
    <x v="271"/>
    <x v="271"/>
    <x v="54"/>
    <x v="0"/>
    <x v="0"/>
    <x v="8"/>
    <x v="34"/>
    <x v="0"/>
    <x v="1"/>
    <x v="1"/>
    <x v="6"/>
    <x v="5"/>
    <x v="1"/>
    <x v="375"/>
    <x v="1"/>
    <x v="364"/>
    <x v="361"/>
    <x v="360"/>
    <x v="3"/>
    <x v="2"/>
    <x v="1"/>
    <x v="3"/>
    <x v="234"/>
    <x v="0"/>
    <x v="1"/>
    <x v="6"/>
  </r>
  <r>
    <x v="272"/>
    <x v="272"/>
    <x v="53"/>
    <x v="0"/>
    <x v="4"/>
    <x v="151"/>
    <x v="0"/>
    <x v="1"/>
    <x v="1"/>
    <x v="4"/>
    <x v="7"/>
    <x v="3"/>
    <x v="0"/>
    <x v="165"/>
    <x v="3"/>
    <x v="59"/>
    <x v="59"/>
    <x v="47"/>
    <x v="1"/>
    <x v="2"/>
    <x v="1"/>
    <x v="4"/>
    <x v="82"/>
    <x v="1"/>
    <x v="1"/>
    <x v="5"/>
  </r>
  <r>
    <x v="273"/>
    <x v="273"/>
    <x v="56"/>
    <x v="0"/>
    <x v="4"/>
    <x v="105"/>
    <x v="20"/>
    <x v="0"/>
    <x v="0"/>
    <x v="1"/>
    <x v="6"/>
    <x v="5"/>
    <x v="3"/>
    <x v="380"/>
    <x v="1"/>
    <x v="464"/>
    <x v="465"/>
    <x v="474"/>
    <x v="3"/>
    <x v="2"/>
    <x v="1"/>
    <x v="4"/>
    <x v="391"/>
    <x v="0"/>
    <x v="0"/>
    <x v="0"/>
  </r>
  <r>
    <x v="274"/>
    <x v="274"/>
    <x v="60"/>
    <x v="0"/>
    <x v="7"/>
    <x v="128"/>
    <x v="22"/>
    <x v="1"/>
    <x v="1"/>
    <x v="3"/>
    <x v="1"/>
    <x v="4"/>
    <x v="1"/>
    <x v="113"/>
    <x v="2"/>
    <x v="176"/>
    <x v="181"/>
    <x v="157"/>
    <x v="1"/>
    <x v="2"/>
    <x v="1"/>
    <x v="3"/>
    <x v="157"/>
    <x v="2"/>
    <x v="1"/>
    <x v="5"/>
  </r>
  <r>
    <x v="275"/>
    <x v="275"/>
    <x v="11"/>
    <x v="1"/>
    <x v="1"/>
    <x v="85"/>
    <x v="33"/>
    <x v="1"/>
    <x v="1"/>
    <x v="3"/>
    <x v="5"/>
    <x v="0"/>
    <x v="0"/>
    <x v="33"/>
    <x v="2"/>
    <x v="22"/>
    <x v="25"/>
    <x v="39"/>
    <x v="3"/>
    <x v="2"/>
    <x v="1"/>
    <x v="0"/>
    <x v="444"/>
    <x v="1"/>
    <x v="1"/>
    <x v="5"/>
  </r>
  <r>
    <x v="276"/>
    <x v="276"/>
    <x v="2"/>
    <x v="1"/>
    <x v="7"/>
    <x v="2"/>
    <x v="42"/>
    <x v="0"/>
    <x v="1"/>
    <x v="1"/>
    <x v="6"/>
    <x v="5"/>
    <x v="0"/>
    <x v="293"/>
    <x v="0"/>
    <x v="198"/>
    <x v="208"/>
    <x v="166"/>
    <x v="3"/>
    <x v="2"/>
    <x v="2"/>
    <x v="5"/>
    <x v="133"/>
    <x v="2"/>
    <x v="1"/>
    <x v="3"/>
  </r>
  <r>
    <x v="277"/>
    <x v="277"/>
    <x v="58"/>
    <x v="0"/>
    <x v="4"/>
    <x v="158"/>
    <x v="39"/>
    <x v="0"/>
    <x v="1"/>
    <x v="1"/>
    <x v="6"/>
    <x v="5"/>
    <x v="0"/>
    <x v="471"/>
    <x v="1"/>
    <x v="243"/>
    <x v="245"/>
    <x v="240"/>
    <x v="1"/>
    <x v="2"/>
    <x v="0"/>
    <x v="5"/>
    <x v="246"/>
    <x v="2"/>
    <x v="1"/>
    <x v="3"/>
  </r>
  <r>
    <x v="278"/>
    <x v="278"/>
    <x v="2"/>
    <x v="1"/>
    <x v="1"/>
    <x v="164"/>
    <x v="49"/>
    <x v="1"/>
    <x v="1"/>
    <x v="6"/>
    <x v="4"/>
    <x v="1"/>
    <x v="1"/>
    <x v="248"/>
    <x v="1"/>
    <x v="303"/>
    <x v="305"/>
    <x v="296"/>
    <x v="2"/>
    <x v="1"/>
    <x v="1"/>
    <x v="0"/>
    <x v="139"/>
    <x v="2"/>
    <x v="1"/>
    <x v="3"/>
  </r>
  <r>
    <x v="279"/>
    <x v="279"/>
    <x v="48"/>
    <x v="0"/>
    <x v="1"/>
    <x v="26"/>
    <x v="3"/>
    <x v="1"/>
    <x v="1"/>
    <x v="3"/>
    <x v="5"/>
    <x v="0"/>
    <x v="0"/>
    <x v="81"/>
    <x v="3"/>
    <x v="31"/>
    <x v="34"/>
    <x v="20"/>
    <x v="2"/>
    <x v="2"/>
    <x v="1"/>
    <x v="2"/>
    <x v="42"/>
    <x v="1"/>
    <x v="1"/>
    <x v="4"/>
  </r>
  <r>
    <x v="280"/>
    <x v="280"/>
    <x v="31"/>
    <x v="0"/>
    <x v="7"/>
    <x v="128"/>
    <x v="38"/>
    <x v="1"/>
    <x v="1"/>
    <x v="4"/>
    <x v="7"/>
    <x v="3"/>
    <x v="1"/>
    <x v="162"/>
    <x v="1"/>
    <x v="254"/>
    <x v="256"/>
    <x v="254"/>
    <x v="2"/>
    <x v="2"/>
    <x v="1"/>
    <x v="2"/>
    <x v="282"/>
    <x v="2"/>
    <x v="1"/>
    <x v="1"/>
  </r>
  <r>
    <x v="281"/>
    <x v="281"/>
    <x v="48"/>
    <x v="0"/>
    <x v="1"/>
    <x v="137"/>
    <x v="1"/>
    <x v="0"/>
    <x v="1"/>
    <x v="1"/>
    <x v="3"/>
    <x v="1"/>
    <x v="0"/>
    <x v="287"/>
    <x v="1"/>
    <x v="155"/>
    <x v="155"/>
    <x v="192"/>
    <x v="3"/>
    <x v="2"/>
    <x v="1"/>
    <x v="4"/>
    <x v="367"/>
    <x v="1"/>
    <x v="1"/>
    <x v="4"/>
  </r>
  <r>
    <x v="282"/>
    <x v="282"/>
    <x v="50"/>
    <x v="0"/>
    <x v="6"/>
    <x v="124"/>
    <x v="27"/>
    <x v="0"/>
    <x v="1"/>
    <x v="1"/>
    <x v="6"/>
    <x v="5"/>
    <x v="1"/>
    <x v="322"/>
    <x v="1"/>
    <x v="345"/>
    <x v="342"/>
    <x v="361"/>
    <x v="0"/>
    <x v="2"/>
    <x v="1"/>
    <x v="5"/>
    <x v="330"/>
    <x v="0"/>
    <x v="1"/>
    <x v="2"/>
  </r>
  <r>
    <x v="283"/>
    <x v="283"/>
    <x v="37"/>
    <x v="0"/>
    <x v="0"/>
    <x v="89"/>
    <x v="34"/>
    <x v="0"/>
    <x v="1"/>
    <x v="1"/>
    <x v="6"/>
    <x v="5"/>
    <x v="1"/>
    <x v="464"/>
    <x v="0"/>
    <x v="404"/>
    <x v="401"/>
    <x v="404"/>
    <x v="3"/>
    <x v="1"/>
    <x v="1"/>
    <x v="3"/>
    <x v="300"/>
    <x v="0"/>
    <x v="1"/>
    <x v="3"/>
  </r>
  <r>
    <x v="284"/>
    <x v="284"/>
    <x v="8"/>
    <x v="1"/>
    <x v="7"/>
    <x v="50"/>
    <x v="42"/>
    <x v="0"/>
    <x v="1"/>
    <x v="1"/>
    <x v="6"/>
    <x v="5"/>
    <x v="0"/>
    <x v="371"/>
    <x v="1"/>
    <x v="196"/>
    <x v="213"/>
    <x v="147"/>
    <x v="3"/>
    <x v="2"/>
    <x v="1"/>
    <x v="5"/>
    <x v="62"/>
    <x v="2"/>
    <x v="1"/>
    <x v="2"/>
  </r>
  <r>
    <x v="285"/>
    <x v="285"/>
    <x v="7"/>
    <x v="1"/>
    <x v="1"/>
    <x v="19"/>
    <x v="28"/>
    <x v="1"/>
    <x v="1"/>
    <x v="1"/>
    <x v="6"/>
    <x v="5"/>
    <x v="1"/>
    <x v="489"/>
    <x v="2"/>
    <x v="380"/>
    <x v="387"/>
    <x v="342"/>
    <x v="3"/>
    <x v="2"/>
    <x v="2"/>
    <x v="0"/>
    <x v="29"/>
    <x v="0"/>
    <x v="1"/>
    <x v="0"/>
  </r>
  <r>
    <x v="286"/>
    <x v="286"/>
    <x v="55"/>
    <x v="0"/>
    <x v="1"/>
    <x v="101"/>
    <x v="17"/>
    <x v="1"/>
    <x v="0"/>
    <x v="3"/>
    <x v="1"/>
    <x v="4"/>
    <x v="3"/>
    <x v="114"/>
    <x v="2"/>
    <x v="353"/>
    <x v="349"/>
    <x v="368"/>
    <x v="3"/>
    <x v="2"/>
    <x v="1"/>
    <x v="5"/>
    <x v="358"/>
    <x v="0"/>
    <x v="0"/>
    <x v="4"/>
  </r>
  <r>
    <x v="287"/>
    <x v="287"/>
    <x v="11"/>
    <x v="1"/>
    <x v="1"/>
    <x v="20"/>
    <x v="46"/>
    <x v="1"/>
    <x v="1"/>
    <x v="1"/>
    <x v="6"/>
    <x v="5"/>
    <x v="0"/>
    <x v="403"/>
    <x v="1"/>
    <x v="215"/>
    <x v="207"/>
    <x v="224"/>
    <x v="3"/>
    <x v="1"/>
    <x v="1"/>
    <x v="4"/>
    <x v="319"/>
    <x v="2"/>
    <x v="1"/>
    <x v="5"/>
  </r>
  <r>
    <x v="288"/>
    <x v="288"/>
    <x v="4"/>
    <x v="1"/>
    <x v="1"/>
    <x v="166"/>
    <x v="22"/>
    <x v="1"/>
    <x v="1"/>
    <x v="4"/>
    <x v="7"/>
    <x v="3"/>
    <x v="1"/>
    <x v="211"/>
    <x v="1"/>
    <x v="280"/>
    <x v="274"/>
    <x v="291"/>
    <x v="0"/>
    <x v="2"/>
    <x v="1"/>
    <x v="1"/>
    <x v="459"/>
    <x v="2"/>
    <x v="1"/>
    <x v="5"/>
  </r>
  <r>
    <x v="289"/>
    <x v="289"/>
    <x v="24"/>
    <x v="1"/>
    <x v="4"/>
    <x v="8"/>
    <x v="34"/>
    <x v="0"/>
    <x v="0"/>
    <x v="6"/>
    <x v="4"/>
    <x v="1"/>
    <x v="4"/>
    <x v="256"/>
    <x v="0"/>
    <x v="480"/>
    <x v="478"/>
    <x v="477"/>
    <x v="3"/>
    <x v="2"/>
    <x v="1"/>
    <x v="4"/>
    <x v="210"/>
    <x v="0"/>
    <x v="0"/>
    <x v="1"/>
  </r>
  <r>
    <x v="290"/>
    <x v="290"/>
    <x v="58"/>
    <x v="0"/>
    <x v="0"/>
    <x v="56"/>
    <x v="19"/>
    <x v="0"/>
    <x v="1"/>
    <x v="3"/>
    <x v="1"/>
    <x v="4"/>
    <x v="1"/>
    <x v="72"/>
    <x v="2"/>
    <x v="130"/>
    <x v="134"/>
    <x v="131"/>
    <x v="3"/>
    <x v="0"/>
    <x v="1"/>
    <x v="4"/>
    <x v="192"/>
    <x v="1"/>
    <x v="1"/>
    <x v="3"/>
  </r>
  <r>
    <x v="291"/>
    <x v="291"/>
    <x v="57"/>
    <x v="0"/>
    <x v="5"/>
    <x v="121"/>
    <x v="46"/>
    <x v="1"/>
    <x v="1"/>
    <x v="1"/>
    <x v="3"/>
    <x v="1"/>
    <x v="1"/>
    <x v="304"/>
    <x v="0"/>
    <x v="369"/>
    <x v="357"/>
    <x v="385"/>
    <x v="3"/>
    <x v="0"/>
    <x v="0"/>
    <x v="0"/>
    <x v="409"/>
    <x v="0"/>
    <x v="1"/>
    <x v="2"/>
  </r>
  <r>
    <x v="292"/>
    <x v="292"/>
    <x v="26"/>
    <x v="1"/>
    <x v="7"/>
    <x v="152"/>
    <x v="16"/>
    <x v="0"/>
    <x v="0"/>
    <x v="1"/>
    <x v="6"/>
    <x v="5"/>
    <x v="4"/>
    <x v="397"/>
    <x v="1"/>
    <x v="489"/>
    <x v="489"/>
    <x v="493"/>
    <x v="2"/>
    <x v="2"/>
    <x v="1"/>
    <x v="2"/>
    <x v="239"/>
    <x v="0"/>
    <x v="0"/>
    <x v="6"/>
  </r>
  <r>
    <x v="293"/>
    <x v="293"/>
    <x v="9"/>
    <x v="1"/>
    <x v="7"/>
    <x v="122"/>
    <x v="14"/>
    <x v="1"/>
    <x v="1"/>
    <x v="5"/>
    <x v="8"/>
    <x v="6"/>
    <x v="1"/>
    <x v="19"/>
    <x v="0"/>
    <x v="30"/>
    <x v="23"/>
    <x v="70"/>
    <x v="3"/>
    <x v="2"/>
    <x v="1"/>
    <x v="2"/>
    <x v="480"/>
    <x v="1"/>
    <x v="1"/>
    <x v="3"/>
  </r>
  <r>
    <x v="294"/>
    <x v="294"/>
    <x v="32"/>
    <x v="0"/>
    <x v="2"/>
    <x v="157"/>
    <x v="39"/>
    <x v="0"/>
    <x v="1"/>
    <x v="3"/>
    <x v="5"/>
    <x v="0"/>
    <x v="0"/>
    <x v="69"/>
    <x v="0"/>
    <x v="56"/>
    <x v="58"/>
    <x v="38"/>
    <x v="1"/>
    <x v="1"/>
    <x v="0"/>
    <x v="5"/>
    <x v="8"/>
    <x v="1"/>
    <x v="1"/>
    <x v="5"/>
  </r>
  <r>
    <x v="295"/>
    <x v="295"/>
    <x v="12"/>
    <x v="1"/>
    <x v="7"/>
    <x v="73"/>
    <x v="36"/>
    <x v="0"/>
    <x v="1"/>
    <x v="4"/>
    <x v="7"/>
    <x v="3"/>
    <x v="1"/>
    <x v="192"/>
    <x v="1"/>
    <x v="269"/>
    <x v="269"/>
    <x v="262"/>
    <x v="2"/>
    <x v="2"/>
    <x v="2"/>
    <x v="2"/>
    <x v="120"/>
    <x v="2"/>
    <x v="1"/>
    <x v="6"/>
  </r>
  <r>
    <x v="296"/>
    <x v="296"/>
    <x v="2"/>
    <x v="1"/>
    <x v="0"/>
    <x v="76"/>
    <x v="24"/>
    <x v="1"/>
    <x v="0"/>
    <x v="6"/>
    <x v="4"/>
    <x v="1"/>
    <x v="2"/>
    <x v="237"/>
    <x v="1"/>
    <x v="393"/>
    <x v="395"/>
    <x v="390"/>
    <x v="2"/>
    <x v="1"/>
    <x v="2"/>
    <x v="2"/>
    <x v="233"/>
    <x v="0"/>
    <x v="0"/>
    <x v="3"/>
  </r>
  <r>
    <x v="297"/>
    <x v="297"/>
    <x v="11"/>
    <x v="1"/>
    <x v="7"/>
    <x v="151"/>
    <x v="41"/>
    <x v="1"/>
    <x v="1"/>
    <x v="1"/>
    <x v="3"/>
    <x v="1"/>
    <x v="0"/>
    <x v="273"/>
    <x v="1"/>
    <x v="136"/>
    <x v="138"/>
    <x v="143"/>
    <x v="3"/>
    <x v="2"/>
    <x v="1"/>
    <x v="0"/>
    <x v="247"/>
    <x v="1"/>
    <x v="1"/>
    <x v="5"/>
  </r>
  <r>
    <x v="298"/>
    <x v="298"/>
    <x v="3"/>
    <x v="1"/>
    <x v="2"/>
    <x v="126"/>
    <x v="25"/>
    <x v="0"/>
    <x v="1"/>
    <x v="1"/>
    <x v="6"/>
    <x v="5"/>
    <x v="1"/>
    <x v="460"/>
    <x v="3"/>
    <x v="340"/>
    <x v="340"/>
    <x v="353"/>
    <x v="1"/>
    <x v="2"/>
    <x v="1"/>
    <x v="5"/>
    <x v="296"/>
    <x v="2"/>
    <x v="1"/>
    <x v="1"/>
  </r>
  <r>
    <x v="299"/>
    <x v="299"/>
    <x v="1"/>
    <x v="1"/>
    <x v="7"/>
    <x v="93"/>
    <x v="40"/>
    <x v="1"/>
    <x v="1"/>
    <x v="4"/>
    <x v="7"/>
    <x v="3"/>
    <x v="1"/>
    <x v="195"/>
    <x v="1"/>
    <x v="271"/>
    <x v="270"/>
    <x v="277"/>
    <x v="3"/>
    <x v="2"/>
    <x v="1"/>
    <x v="1"/>
    <x v="269"/>
    <x v="2"/>
    <x v="1"/>
    <x v="2"/>
  </r>
  <r>
    <x v="300"/>
    <x v="300"/>
    <x v="13"/>
    <x v="1"/>
    <x v="7"/>
    <x v="92"/>
    <x v="45"/>
    <x v="0"/>
    <x v="0"/>
    <x v="3"/>
    <x v="5"/>
    <x v="0"/>
    <x v="4"/>
    <x v="67"/>
    <x v="2"/>
    <x v="400"/>
    <x v="404"/>
    <x v="375"/>
    <x v="1"/>
    <x v="2"/>
    <x v="1"/>
    <x v="4"/>
    <x v="39"/>
    <x v="0"/>
    <x v="0"/>
    <x v="4"/>
  </r>
  <r>
    <x v="301"/>
    <x v="301"/>
    <x v="29"/>
    <x v="1"/>
    <x v="1"/>
    <x v="150"/>
    <x v="2"/>
    <x v="1"/>
    <x v="1"/>
    <x v="3"/>
    <x v="5"/>
    <x v="0"/>
    <x v="1"/>
    <x v="29"/>
    <x v="0"/>
    <x v="131"/>
    <x v="140"/>
    <x v="116"/>
    <x v="3"/>
    <x v="2"/>
    <x v="2"/>
    <x v="0"/>
    <x v="81"/>
    <x v="1"/>
    <x v="1"/>
    <x v="2"/>
  </r>
  <r>
    <x v="302"/>
    <x v="302"/>
    <x v="4"/>
    <x v="1"/>
    <x v="0"/>
    <x v="35"/>
    <x v="5"/>
    <x v="0"/>
    <x v="1"/>
    <x v="3"/>
    <x v="5"/>
    <x v="0"/>
    <x v="1"/>
    <x v="147"/>
    <x v="2"/>
    <x v="225"/>
    <x v="229"/>
    <x v="184"/>
    <x v="3"/>
    <x v="2"/>
    <x v="1"/>
    <x v="1"/>
    <x v="119"/>
    <x v="2"/>
    <x v="1"/>
    <x v="5"/>
  </r>
  <r>
    <x v="303"/>
    <x v="303"/>
    <x v="1"/>
    <x v="1"/>
    <x v="1"/>
    <x v="96"/>
    <x v="30"/>
    <x v="0"/>
    <x v="0"/>
    <x v="3"/>
    <x v="5"/>
    <x v="0"/>
    <x v="4"/>
    <x v="149"/>
    <x v="2"/>
    <x v="421"/>
    <x v="415"/>
    <x v="430"/>
    <x v="1"/>
    <x v="1"/>
    <x v="1"/>
    <x v="5"/>
    <x v="425"/>
    <x v="0"/>
    <x v="0"/>
    <x v="2"/>
  </r>
  <r>
    <x v="304"/>
    <x v="304"/>
    <x v="0"/>
    <x v="1"/>
    <x v="2"/>
    <x v="80"/>
    <x v="23"/>
    <x v="0"/>
    <x v="1"/>
    <x v="3"/>
    <x v="5"/>
    <x v="0"/>
    <x v="0"/>
    <x v="37"/>
    <x v="1"/>
    <x v="34"/>
    <x v="36"/>
    <x v="24"/>
    <x v="1"/>
    <x v="1"/>
    <x v="1"/>
    <x v="2"/>
    <x v="33"/>
    <x v="1"/>
    <x v="1"/>
    <x v="0"/>
  </r>
  <r>
    <x v="305"/>
    <x v="305"/>
    <x v="57"/>
    <x v="0"/>
    <x v="6"/>
    <x v="6"/>
    <x v="21"/>
    <x v="1"/>
    <x v="1"/>
    <x v="1"/>
    <x v="6"/>
    <x v="5"/>
    <x v="1"/>
    <x v="425"/>
    <x v="2"/>
    <x v="355"/>
    <x v="350"/>
    <x v="372"/>
    <x v="3"/>
    <x v="2"/>
    <x v="1"/>
    <x v="0"/>
    <x v="362"/>
    <x v="0"/>
    <x v="1"/>
    <x v="2"/>
  </r>
  <r>
    <x v="306"/>
    <x v="306"/>
    <x v="10"/>
    <x v="1"/>
    <x v="7"/>
    <x v="83"/>
    <x v="5"/>
    <x v="0"/>
    <x v="1"/>
    <x v="3"/>
    <x v="1"/>
    <x v="4"/>
    <x v="1"/>
    <x v="48"/>
    <x v="3"/>
    <x v="110"/>
    <x v="110"/>
    <x v="121"/>
    <x v="1"/>
    <x v="1"/>
    <x v="1"/>
    <x v="0"/>
    <x v="357"/>
    <x v="1"/>
    <x v="1"/>
    <x v="1"/>
  </r>
  <r>
    <x v="307"/>
    <x v="307"/>
    <x v="16"/>
    <x v="1"/>
    <x v="0"/>
    <x v="48"/>
    <x v="12"/>
    <x v="1"/>
    <x v="1"/>
    <x v="0"/>
    <x v="2"/>
    <x v="2"/>
    <x v="1"/>
    <x v="6"/>
    <x v="1"/>
    <x v="12"/>
    <x v="8"/>
    <x v="14"/>
    <x v="2"/>
    <x v="1"/>
    <x v="1"/>
    <x v="0"/>
    <x v="497"/>
    <x v="1"/>
    <x v="1"/>
    <x v="3"/>
  </r>
  <r>
    <x v="308"/>
    <x v="308"/>
    <x v="48"/>
    <x v="0"/>
    <x v="7"/>
    <x v="9"/>
    <x v="46"/>
    <x v="1"/>
    <x v="1"/>
    <x v="1"/>
    <x v="3"/>
    <x v="1"/>
    <x v="0"/>
    <x v="294"/>
    <x v="0"/>
    <x v="199"/>
    <x v="180"/>
    <x v="234"/>
    <x v="3"/>
    <x v="2"/>
    <x v="1"/>
    <x v="0"/>
    <x v="414"/>
    <x v="2"/>
    <x v="1"/>
    <x v="4"/>
  </r>
  <r>
    <x v="309"/>
    <x v="309"/>
    <x v="14"/>
    <x v="1"/>
    <x v="7"/>
    <x v="16"/>
    <x v="44"/>
    <x v="0"/>
    <x v="1"/>
    <x v="6"/>
    <x v="4"/>
    <x v="1"/>
    <x v="0"/>
    <x v="226"/>
    <x v="1"/>
    <x v="94"/>
    <x v="96"/>
    <x v="88"/>
    <x v="3"/>
    <x v="2"/>
    <x v="2"/>
    <x v="0"/>
    <x v="88"/>
    <x v="1"/>
    <x v="1"/>
    <x v="0"/>
  </r>
  <r>
    <x v="310"/>
    <x v="310"/>
    <x v="24"/>
    <x v="1"/>
    <x v="2"/>
    <x v="9"/>
    <x v="25"/>
    <x v="0"/>
    <x v="1"/>
    <x v="4"/>
    <x v="7"/>
    <x v="3"/>
    <x v="0"/>
    <x v="188"/>
    <x v="2"/>
    <x v="79"/>
    <x v="81"/>
    <x v="65"/>
    <x v="3"/>
    <x v="2"/>
    <x v="1"/>
    <x v="5"/>
    <x v="22"/>
    <x v="1"/>
    <x v="1"/>
    <x v="1"/>
  </r>
  <r>
    <x v="311"/>
    <x v="311"/>
    <x v="28"/>
    <x v="1"/>
    <x v="7"/>
    <x v="57"/>
    <x v="30"/>
    <x v="0"/>
    <x v="1"/>
    <x v="1"/>
    <x v="6"/>
    <x v="5"/>
    <x v="1"/>
    <x v="430"/>
    <x v="1"/>
    <x v="378"/>
    <x v="386"/>
    <x v="346"/>
    <x v="3"/>
    <x v="1"/>
    <x v="1"/>
    <x v="4"/>
    <x v="55"/>
    <x v="0"/>
    <x v="1"/>
    <x v="0"/>
  </r>
  <r>
    <x v="312"/>
    <x v="312"/>
    <x v="59"/>
    <x v="0"/>
    <x v="0"/>
    <x v="137"/>
    <x v="27"/>
    <x v="0"/>
    <x v="1"/>
    <x v="1"/>
    <x v="6"/>
    <x v="5"/>
    <x v="0"/>
    <x v="422"/>
    <x v="2"/>
    <x v="181"/>
    <x v="186"/>
    <x v="145"/>
    <x v="3"/>
    <x v="2"/>
    <x v="1"/>
    <x v="0"/>
    <x v="107"/>
    <x v="2"/>
    <x v="1"/>
    <x v="1"/>
  </r>
  <r>
    <x v="313"/>
    <x v="313"/>
    <x v="29"/>
    <x v="1"/>
    <x v="4"/>
    <x v="130"/>
    <x v="49"/>
    <x v="1"/>
    <x v="1"/>
    <x v="6"/>
    <x v="4"/>
    <x v="1"/>
    <x v="1"/>
    <x v="252"/>
    <x v="0"/>
    <x v="316"/>
    <x v="317"/>
    <x v="313"/>
    <x v="1"/>
    <x v="1"/>
    <x v="1"/>
    <x v="1"/>
    <x v="171"/>
    <x v="2"/>
    <x v="1"/>
    <x v="2"/>
  </r>
  <r>
    <x v="314"/>
    <x v="314"/>
    <x v="0"/>
    <x v="1"/>
    <x v="3"/>
    <x v="0"/>
    <x v="45"/>
    <x v="0"/>
    <x v="1"/>
    <x v="3"/>
    <x v="1"/>
    <x v="4"/>
    <x v="0"/>
    <x v="166"/>
    <x v="0"/>
    <x v="80"/>
    <x v="79"/>
    <x v="85"/>
    <x v="3"/>
    <x v="0"/>
    <x v="2"/>
    <x v="0"/>
    <x v="418"/>
    <x v="1"/>
    <x v="1"/>
    <x v="0"/>
  </r>
  <r>
    <x v="315"/>
    <x v="315"/>
    <x v="10"/>
    <x v="1"/>
    <x v="4"/>
    <x v="138"/>
    <x v="11"/>
    <x v="1"/>
    <x v="1"/>
    <x v="2"/>
    <x v="0"/>
    <x v="2"/>
    <x v="0"/>
    <x v="10"/>
    <x v="2"/>
    <x v="5"/>
    <x v="5"/>
    <x v="6"/>
    <x v="3"/>
    <x v="2"/>
    <x v="1"/>
    <x v="2"/>
    <x v="489"/>
    <x v="1"/>
    <x v="1"/>
    <x v="1"/>
  </r>
  <r>
    <x v="316"/>
    <x v="316"/>
    <x v="8"/>
    <x v="1"/>
    <x v="0"/>
    <x v="9"/>
    <x v="36"/>
    <x v="0"/>
    <x v="1"/>
    <x v="4"/>
    <x v="7"/>
    <x v="3"/>
    <x v="1"/>
    <x v="231"/>
    <x v="1"/>
    <x v="288"/>
    <x v="286"/>
    <x v="294"/>
    <x v="2"/>
    <x v="1"/>
    <x v="1"/>
    <x v="1"/>
    <x v="360"/>
    <x v="2"/>
    <x v="1"/>
    <x v="2"/>
  </r>
  <r>
    <x v="317"/>
    <x v="317"/>
    <x v="60"/>
    <x v="0"/>
    <x v="1"/>
    <x v="30"/>
    <x v="16"/>
    <x v="0"/>
    <x v="0"/>
    <x v="1"/>
    <x v="6"/>
    <x v="5"/>
    <x v="2"/>
    <x v="433"/>
    <x v="1"/>
    <x v="444"/>
    <x v="443"/>
    <x v="449"/>
    <x v="3"/>
    <x v="2"/>
    <x v="1"/>
    <x v="2"/>
    <x v="376"/>
    <x v="0"/>
    <x v="0"/>
    <x v="5"/>
  </r>
  <r>
    <x v="318"/>
    <x v="318"/>
    <x v="23"/>
    <x v="1"/>
    <x v="7"/>
    <x v="110"/>
    <x v="17"/>
    <x v="1"/>
    <x v="1"/>
    <x v="6"/>
    <x v="4"/>
    <x v="1"/>
    <x v="0"/>
    <x v="208"/>
    <x v="0"/>
    <x v="95"/>
    <x v="94"/>
    <x v="92"/>
    <x v="1"/>
    <x v="2"/>
    <x v="1"/>
    <x v="3"/>
    <x v="149"/>
    <x v="1"/>
    <x v="1"/>
    <x v="3"/>
  </r>
  <r>
    <x v="319"/>
    <x v="319"/>
    <x v="49"/>
    <x v="0"/>
    <x v="6"/>
    <x v="154"/>
    <x v="3"/>
    <x v="1"/>
    <x v="1"/>
    <x v="3"/>
    <x v="5"/>
    <x v="0"/>
    <x v="0"/>
    <x v="28"/>
    <x v="3"/>
    <x v="19"/>
    <x v="22"/>
    <x v="16"/>
    <x v="3"/>
    <x v="1"/>
    <x v="1"/>
    <x v="0"/>
    <x v="95"/>
    <x v="1"/>
    <x v="1"/>
    <x v="0"/>
  </r>
  <r>
    <x v="320"/>
    <x v="320"/>
    <x v="32"/>
    <x v="0"/>
    <x v="4"/>
    <x v="0"/>
    <x v="8"/>
    <x v="1"/>
    <x v="1"/>
    <x v="3"/>
    <x v="5"/>
    <x v="0"/>
    <x v="1"/>
    <x v="139"/>
    <x v="2"/>
    <x v="212"/>
    <x v="194"/>
    <x v="239"/>
    <x v="2"/>
    <x v="1"/>
    <x v="1"/>
    <x v="3"/>
    <x v="415"/>
    <x v="2"/>
    <x v="1"/>
    <x v="5"/>
  </r>
  <r>
    <x v="321"/>
    <x v="321"/>
    <x v="59"/>
    <x v="0"/>
    <x v="4"/>
    <x v="61"/>
    <x v="2"/>
    <x v="1"/>
    <x v="0"/>
    <x v="1"/>
    <x v="3"/>
    <x v="1"/>
    <x v="4"/>
    <x v="368"/>
    <x v="0"/>
    <x v="493"/>
    <x v="495"/>
    <x v="487"/>
    <x v="3"/>
    <x v="0"/>
    <x v="1"/>
    <x v="5"/>
    <x v="35"/>
    <x v="0"/>
    <x v="0"/>
    <x v="1"/>
  </r>
  <r>
    <x v="322"/>
    <x v="322"/>
    <x v="59"/>
    <x v="0"/>
    <x v="7"/>
    <x v="9"/>
    <x v="44"/>
    <x v="0"/>
    <x v="1"/>
    <x v="1"/>
    <x v="3"/>
    <x v="1"/>
    <x v="0"/>
    <x v="267"/>
    <x v="2"/>
    <x v="117"/>
    <x v="113"/>
    <x v="140"/>
    <x v="0"/>
    <x v="2"/>
    <x v="1"/>
    <x v="4"/>
    <x v="401"/>
    <x v="1"/>
    <x v="1"/>
    <x v="1"/>
  </r>
  <r>
    <x v="323"/>
    <x v="323"/>
    <x v="42"/>
    <x v="0"/>
    <x v="1"/>
    <x v="5"/>
    <x v="38"/>
    <x v="1"/>
    <x v="1"/>
    <x v="3"/>
    <x v="1"/>
    <x v="4"/>
    <x v="1"/>
    <x v="86"/>
    <x v="2"/>
    <x v="146"/>
    <x v="142"/>
    <x v="153"/>
    <x v="2"/>
    <x v="2"/>
    <x v="1"/>
    <x v="1"/>
    <x v="267"/>
    <x v="1"/>
    <x v="1"/>
    <x v="0"/>
  </r>
  <r>
    <x v="324"/>
    <x v="324"/>
    <x v="34"/>
    <x v="0"/>
    <x v="6"/>
    <x v="21"/>
    <x v="18"/>
    <x v="0"/>
    <x v="0"/>
    <x v="1"/>
    <x v="6"/>
    <x v="5"/>
    <x v="3"/>
    <x v="361"/>
    <x v="2"/>
    <x v="458"/>
    <x v="457"/>
    <x v="464"/>
    <x v="3"/>
    <x v="1"/>
    <x v="1"/>
    <x v="4"/>
    <x v="397"/>
    <x v="0"/>
    <x v="0"/>
    <x v="4"/>
  </r>
  <r>
    <x v="325"/>
    <x v="325"/>
    <x v="58"/>
    <x v="0"/>
    <x v="1"/>
    <x v="159"/>
    <x v="17"/>
    <x v="1"/>
    <x v="1"/>
    <x v="3"/>
    <x v="1"/>
    <x v="4"/>
    <x v="0"/>
    <x v="146"/>
    <x v="2"/>
    <x v="62"/>
    <x v="66"/>
    <x v="51"/>
    <x v="3"/>
    <x v="2"/>
    <x v="1"/>
    <x v="3"/>
    <x v="92"/>
    <x v="1"/>
    <x v="1"/>
    <x v="3"/>
  </r>
  <r>
    <x v="326"/>
    <x v="326"/>
    <x v="4"/>
    <x v="1"/>
    <x v="1"/>
    <x v="140"/>
    <x v="16"/>
    <x v="0"/>
    <x v="0"/>
    <x v="1"/>
    <x v="3"/>
    <x v="1"/>
    <x v="2"/>
    <x v="264"/>
    <x v="0"/>
    <x v="432"/>
    <x v="430"/>
    <x v="436"/>
    <x v="1"/>
    <x v="1"/>
    <x v="1"/>
    <x v="0"/>
    <x v="331"/>
    <x v="0"/>
    <x v="0"/>
    <x v="5"/>
  </r>
  <r>
    <x v="327"/>
    <x v="327"/>
    <x v="7"/>
    <x v="1"/>
    <x v="1"/>
    <x v="98"/>
    <x v="30"/>
    <x v="0"/>
    <x v="1"/>
    <x v="1"/>
    <x v="6"/>
    <x v="5"/>
    <x v="1"/>
    <x v="299"/>
    <x v="0"/>
    <x v="365"/>
    <x v="373"/>
    <x v="337"/>
    <x v="0"/>
    <x v="2"/>
    <x v="0"/>
    <x v="3"/>
    <x v="86"/>
    <x v="0"/>
    <x v="1"/>
    <x v="0"/>
  </r>
  <r>
    <x v="328"/>
    <x v="328"/>
    <x v="60"/>
    <x v="0"/>
    <x v="6"/>
    <x v="77"/>
    <x v="37"/>
    <x v="1"/>
    <x v="1"/>
    <x v="5"/>
    <x v="8"/>
    <x v="6"/>
    <x v="0"/>
    <x v="12"/>
    <x v="0"/>
    <x v="9"/>
    <x v="10"/>
    <x v="8"/>
    <x v="3"/>
    <x v="2"/>
    <x v="1"/>
    <x v="4"/>
    <x v="485"/>
    <x v="1"/>
    <x v="1"/>
    <x v="5"/>
  </r>
  <r>
    <x v="329"/>
    <x v="329"/>
    <x v="34"/>
    <x v="0"/>
    <x v="1"/>
    <x v="158"/>
    <x v="16"/>
    <x v="0"/>
    <x v="1"/>
    <x v="1"/>
    <x v="6"/>
    <x v="5"/>
    <x v="1"/>
    <x v="435"/>
    <x v="1"/>
    <x v="381"/>
    <x v="375"/>
    <x v="399"/>
    <x v="3"/>
    <x v="0"/>
    <x v="1"/>
    <x v="4"/>
    <x v="454"/>
    <x v="0"/>
    <x v="1"/>
    <x v="4"/>
  </r>
  <r>
    <x v="330"/>
    <x v="330"/>
    <x v="1"/>
    <x v="1"/>
    <x v="2"/>
    <x v="152"/>
    <x v="10"/>
    <x v="1"/>
    <x v="0"/>
    <x v="4"/>
    <x v="7"/>
    <x v="3"/>
    <x v="2"/>
    <x v="204"/>
    <x v="1"/>
    <x v="360"/>
    <x v="364"/>
    <x v="334"/>
    <x v="0"/>
    <x v="1"/>
    <x v="1"/>
    <x v="0"/>
    <x v="90"/>
    <x v="0"/>
    <x v="0"/>
    <x v="2"/>
  </r>
  <r>
    <x v="331"/>
    <x v="331"/>
    <x v="19"/>
    <x v="1"/>
    <x v="2"/>
    <x v="38"/>
    <x v="12"/>
    <x v="1"/>
    <x v="0"/>
    <x v="3"/>
    <x v="5"/>
    <x v="0"/>
    <x v="3"/>
    <x v="70"/>
    <x v="2"/>
    <x v="323"/>
    <x v="327"/>
    <x v="311"/>
    <x v="0"/>
    <x v="2"/>
    <x v="1"/>
    <x v="2"/>
    <x v="54"/>
    <x v="2"/>
    <x v="0"/>
    <x v="6"/>
  </r>
  <r>
    <x v="332"/>
    <x v="332"/>
    <x v="7"/>
    <x v="1"/>
    <x v="1"/>
    <x v="35"/>
    <x v="30"/>
    <x v="0"/>
    <x v="1"/>
    <x v="1"/>
    <x v="3"/>
    <x v="1"/>
    <x v="0"/>
    <x v="326"/>
    <x v="1"/>
    <x v="171"/>
    <x v="167"/>
    <x v="199"/>
    <x v="1"/>
    <x v="1"/>
    <x v="1"/>
    <x v="5"/>
    <x v="342"/>
    <x v="2"/>
    <x v="1"/>
    <x v="0"/>
  </r>
  <r>
    <x v="333"/>
    <x v="333"/>
    <x v="40"/>
    <x v="0"/>
    <x v="1"/>
    <x v="24"/>
    <x v="16"/>
    <x v="0"/>
    <x v="1"/>
    <x v="3"/>
    <x v="5"/>
    <x v="0"/>
    <x v="1"/>
    <x v="141"/>
    <x v="0"/>
    <x v="259"/>
    <x v="258"/>
    <x v="269"/>
    <x v="1"/>
    <x v="2"/>
    <x v="1"/>
    <x v="1"/>
    <x v="443"/>
    <x v="2"/>
    <x v="1"/>
    <x v="6"/>
  </r>
  <r>
    <x v="334"/>
    <x v="334"/>
    <x v="43"/>
    <x v="0"/>
    <x v="2"/>
    <x v="1"/>
    <x v="20"/>
    <x v="0"/>
    <x v="1"/>
    <x v="6"/>
    <x v="4"/>
    <x v="1"/>
    <x v="1"/>
    <x v="244"/>
    <x v="2"/>
    <x v="287"/>
    <x v="290"/>
    <x v="278"/>
    <x v="1"/>
    <x v="1"/>
    <x v="1"/>
    <x v="0"/>
    <x v="34"/>
    <x v="2"/>
    <x v="1"/>
    <x v="2"/>
  </r>
  <r>
    <x v="335"/>
    <x v="335"/>
    <x v="16"/>
    <x v="1"/>
    <x v="1"/>
    <x v="156"/>
    <x v="11"/>
    <x v="1"/>
    <x v="1"/>
    <x v="3"/>
    <x v="1"/>
    <x v="4"/>
    <x v="0"/>
    <x v="93"/>
    <x v="0"/>
    <x v="64"/>
    <x v="65"/>
    <x v="63"/>
    <x v="1"/>
    <x v="2"/>
    <x v="1"/>
    <x v="5"/>
    <x v="254"/>
    <x v="1"/>
    <x v="1"/>
    <x v="3"/>
  </r>
  <r>
    <x v="336"/>
    <x v="336"/>
    <x v="29"/>
    <x v="1"/>
    <x v="1"/>
    <x v="128"/>
    <x v="22"/>
    <x v="1"/>
    <x v="1"/>
    <x v="4"/>
    <x v="7"/>
    <x v="3"/>
    <x v="1"/>
    <x v="194"/>
    <x v="0"/>
    <x v="278"/>
    <x v="276"/>
    <x v="282"/>
    <x v="3"/>
    <x v="1"/>
    <x v="1"/>
    <x v="3"/>
    <x v="310"/>
    <x v="2"/>
    <x v="1"/>
    <x v="2"/>
  </r>
  <r>
    <x v="337"/>
    <x v="337"/>
    <x v="14"/>
    <x v="1"/>
    <x v="1"/>
    <x v="26"/>
    <x v="30"/>
    <x v="0"/>
    <x v="0"/>
    <x v="3"/>
    <x v="1"/>
    <x v="4"/>
    <x v="2"/>
    <x v="83"/>
    <x v="1"/>
    <x v="290"/>
    <x v="287"/>
    <x v="295"/>
    <x v="3"/>
    <x v="0"/>
    <x v="1"/>
    <x v="4"/>
    <x v="336"/>
    <x v="2"/>
    <x v="0"/>
    <x v="0"/>
  </r>
  <r>
    <x v="338"/>
    <x v="338"/>
    <x v="36"/>
    <x v="0"/>
    <x v="1"/>
    <x v="125"/>
    <x v="14"/>
    <x v="1"/>
    <x v="1"/>
    <x v="1"/>
    <x v="3"/>
    <x v="1"/>
    <x v="0"/>
    <x v="320"/>
    <x v="1"/>
    <x v="170"/>
    <x v="169"/>
    <x v="169"/>
    <x v="2"/>
    <x v="1"/>
    <x v="1"/>
    <x v="0"/>
    <x v="228"/>
    <x v="1"/>
    <x v="1"/>
    <x v="2"/>
  </r>
  <r>
    <x v="339"/>
    <x v="339"/>
    <x v="56"/>
    <x v="0"/>
    <x v="7"/>
    <x v="151"/>
    <x v="10"/>
    <x v="1"/>
    <x v="1"/>
    <x v="1"/>
    <x v="6"/>
    <x v="5"/>
    <x v="1"/>
    <x v="488"/>
    <x v="2"/>
    <x v="379"/>
    <x v="383"/>
    <x v="363"/>
    <x v="1"/>
    <x v="2"/>
    <x v="1"/>
    <x v="1"/>
    <x v="162"/>
    <x v="0"/>
    <x v="1"/>
    <x v="0"/>
  </r>
  <r>
    <x v="340"/>
    <x v="340"/>
    <x v="42"/>
    <x v="0"/>
    <x v="2"/>
    <x v="128"/>
    <x v="36"/>
    <x v="0"/>
    <x v="1"/>
    <x v="3"/>
    <x v="1"/>
    <x v="4"/>
    <x v="0"/>
    <x v="172"/>
    <x v="0"/>
    <x v="83"/>
    <x v="85"/>
    <x v="75"/>
    <x v="3"/>
    <x v="2"/>
    <x v="1"/>
    <x v="5"/>
    <x v="146"/>
    <x v="1"/>
    <x v="1"/>
    <x v="0"/>
  </r>
  <r>
    <x v="341"/>
    <x v="341"/>
    <x v="50"/>
    <x v="0"/>
    <x v="2"/>
    <x v="93"/>
    <x v="4"/>
    <x v="1"/>
    <x v="1"/>
    <x v="2"/>
    <x v="0"/>
    <x v="2"/>
    <x v="1"/>
    <x v="4"/>
    <x v="1"/>
    <x v="11"/>
    <x v="9"/>
    <x v="11"/>
    <x v="3"/>
    <x v="2"/>
    <x v="1"/>
    <x v="0"/>
    <x v="491"/>
    <x v="1"/>
    <x v="1"/>
    <x v="2"/>
  </r>
  <r>
    <x v="342"/>
    <x v="342"/>
    <x v="44"/>
    <x v="0"/>
    <x v="6"/>
    <x v="156"/>
    <x v="6"/>
    <x v="1"/>
    <x v="1"/>
    <x v="6"/>
    <x v="4"/>
    <x v="1"/>
    <x v="1"/>
    <x v="247"/>
    <x v="0"/>
    <x v="310"/>
    <x v="311"/>
    <x v="307"/>
    <x v="1"/>
    <x v="1"/>
    <x v="1"/>
    <x v="4"/>
    <x v="204"/>
    <x v="2"/>
    <x v="1"/>
    <x v="3"/>
  </r>
  <r>
    <x v="343"/>
    <x v="343"/>
    <x v="60"/>
    <x v="0"/>
    <x v="2"/>
    <x v="105"/>
    <x v="28"/>
    <x v="1"/>
    <x v="1"/>
    <x v="4"/>
    <x v="7"/>
    <x v="3"/>
    <x v="0"/>
    <x v="177"/>
    <x v="0"/>
    <x v="84"/>
    <x v="82"/>
    <x v="87"/>
    <x v="3"/>
    <x v="2"/>
    <x v="1"/>
    <x v="5"/>
    <x v="405"/>
    <x v="1"/>
    <x v="1"/>
    <x v="5"/>
  </r>
  <r>
    <x v="344"/>
    <x v="344"/>
    <x v="51"/>
    <x v="0"/>
    <x v="4"/>
    <x v="72"/>
    <x v="33"/>
    <x v="1"/>
    <x v="1"/>
    <x v="1"/>
    <x v="6"/>
    <x v="5"/>
    <x v="0"/>
    <x v="475"/>
    <x v="2"/>
    <x v="223"/>
    <x v="228"/>
    <x v="179"/>
    <x v="3"/>
    <x v="1"/>
    <x v="1"/>
    <x v="0"/>
    <x v="113"/>
    <x v="2"/>
    <x v="1"/>
    <x v="3"/>
  </r>
  <r>
    <x v="345"/>
    <x v="345"/>
    <x v="6"/>
    <x v="1"/>
    <x v="4"/>
    <x v="159"/>
    <x v="24"/>
    <x v="1"/>
    <x v="0"/>
    <x v="3"/>
    <x v="5"/>
    <x v="0"/>
    <x v="4"/>
    <x v="57"/>
    <x v="1"/>
    <x v="407"/>
    <x v="406"/>
    <x v="398"/>
    <x v="1"/>
    <x v="2"/>
    <x v="1"/>
    <x v="3"/>
    <x v="170"/>
    <x v="0"/>
    <x v="0"/>
    <x v="4"/>
  </r>
  <r>
    <x v="346"/>
    <x v="346"/>
    <x v="4"/>
    <x v="1"/>
    <x v="4"/>
    <x v="40"/>
    <x v="41"/>
    <x v="1"/>
    <x v="1"/>
    <x v="3"/>
    <x v="5"/>
    <x v="0"/>
    <x v="1"/>
    <x v="34"/>
    <x v="3"/>
    <x v="104"/>
    <x v="108"/>
    <x v="100"/>
    <x v="3"/>
    <x v="2"/>
    <x v="1"/>
    <x v="1"/>
    <x v="110"/>
    <x v="1"/>
    <x v="1"/>
    <x v="5"/>
  </r>
  <r>
    <x v="347"/>
    <x v="347"/>
    <x v="28"/>
    <x v="1"/>
    <x v="2"/>
    <x v="9"/>
    <x v="18"/>
    <x v="0"/>
    <x v="0"/>
    <x v="1"/>
    <x v="6"/>
    <x v="5"/>
    <x v="3"/>
    <x v="448"/>
    <x v="2"/>
    <x v="465"/>
    <x v="464"/>
    <x v="476"/>
    <x v="2"/>
    <x v="1"/>
    <x v="1"/>
    <x v="4"/>
    <x v="456"/>
    <x v="0"/>
    <x v="0"/>
    <x v="0"/>
  </r>
  <r>
    <x v="348"/>
    <x v="348"/>
    <x v="57"/>
    <x v="0"/>
    <x v="4"/>
    <x v="157"/>
    <x v="12"/>
    <x v="1"/>
    <x v="0"/>
    <x v="2"/>
    <x v="0"/>
    <x v="2"/>
    <x v="3"/>
    <x v="8"/>
    <x v="1"/>
    <x v="28"/>
    <x v="19"/>
    <x v="125"/>
    <x v="3"/>
    <x v="2"/>
    <x v="1"/>
    <x v="4"/>
    <x v="499"/>
    <x v="1"/>
    <x v="0"/>
    <x v="2"/>
  </r>
  <r>
    <x v="349"/>
    <x v="349"/>
    <x v="0"/>
    <x v="1"/>
    <x v="6"/>
    <x v="112"/>
    <x v="38"/>
    <x v="1"/>
    <x v="1"/>
    <x v="1"/>
    <x v="3"/>
    <x v="1"/>
    <x v="1"/>
    <x v="409"/>
    <x v="2"/>
    <x v="347"/>
    <x v="344"/>
    <x v="362"/>
    <x v="2"/>
    <x v="2"/>
    <x v="1"/>
    <x v="1"/>
    <x v="343"/>
    <x v="0"/>
    <x v="1"/>
    <x v="0"/>
  </r>
  <r>
    <x v="350"/>
    <x v="350"/>
    <x v="1"/>
    <x v="1"/>
    <x v="2"/>
    <x v="102"/>
    <x v="38"/>
    <x v="1"/>
    <x v="1"/>
    <x v="4"/>
    <x v="7"/>
    <x v="3"/>
    <x v="1"/>
    <x v="185"/>
    <x v="2"/>
    <x v="267"/>
    <x v="266"/>
    <x v="255"/>
    <x v="3"/>
    <x v="1"/>
    <x v="1"/>
    <x v="5"/>
    <x v="191"/>
    <x v="2"/>
    <x v="1"/>
    <x v="2"/>
  </r>
  <r>
    <x v="351"/>
    <x v="351"/>
    <x v="38"/>
    <x v="0"/>
    <x v="1"/>
    <x v="6"/>
    <x v="33"/>
    <x v="1"/>
    <x v="0"/>
    <x v="4"/>
    <x v="7"/>
    <x v="3"/>
    <x v="2"/>
    <x v="163"/>
    <x v="3"/>
    <x v="293"/>
    <x v="291"/>
    <x v="306"/>
    <x v="3"/>
    <x v="2"/>
    <x v="1"/>
    <x v="0"/>
    <x v="472"/>
    <x v="2"/>
    <x v="0"/>
    <x v="1"/>
  </r>
  <r>
    <x v="352"/>
    <x v="352"/>
    <x v="32"/>
    <x v="0"/>
    <x v="6"/>
    <x v="155"/>
    <x v="16"/>
    <x v="0"/>
    <x v="1"/>
    <x v="4"/>
    <x v="7"/>
    <x v="3"/>
    <x v="0"/>
    <x v="221"/>
    <x v="0"/>
    <x v="98"/>
    <x v="99"/>
    <x v="89"/>
    <x v="1"/>
    <x v="2"/>
    <x v="1"/>
    <x v="1"/>
    <x v="27"/>
    <x v="1"/>
    <x v="1"/>
    <x v="5"/>
  </r>
  <r>
    <x v="353"/>
    <x v="353"/>
    <x v="55"/>
    <x v="0"/>
    <x v="4"/>
    <x v="67"/>
    <x v="2"/>
    <x v="1"/>
    <x v="1"/>
    <x v="1"/>
    <x v="6"/>
    <x v="5"/>
    <x v="0"/>
    <x v="341"/>
    <x v="1"/>
    <x v="179"/>
    <x v="170"/>
    <x v="207"/>
    <x v="2"/>
    <x v="2"/>
    <x v="1"/>
    <x v="4"/>
    <x v="351"/>
    <x v="2"/>
    <x v="1"/>
    <x v="4"/>
  </r>
  <r>
    <x v="354"/>
    <x v="354"/>
    <x v="3"/>
    <x v="1"/>
    <x v="1"/>
    <x v="23"/>
    <x v="5"/>
    <x v="0"/>
    <x v="1"/>
    <x v="4"/>
    <x v="7"/>
    <x v="3"/>
    <x v="0"/>
    <x v="200"/>
    <x v="1"/>
    <x v="89"/>
    <x v="90"/>
    <x v="83"/>
    <x v="3"/>
    <x v="2"/>
    <x v="1"/>
    <x v="3"/>
    <x v="188"/>
    <x v="1"/>
    <x v="1"/>
    <x v="1"/>
  </r>
  <r>
    <x v="355"/>
    <x v="355"/>
    <x v="16"/>
    <x v="1"/>
    <x v="4"/>
    <x v="19"/>
    <x v="30"/>
    <x v="0"/>
    <x v="1"/>
    <x v="6"/>
    <x v="4"/>
    <x v="1"/>
    <x v="1"/>
    <x v="246"/>
    <x v="1"/>
    <x v="300"/>
    <x v="297"/>
    <x v="316"/>
    <x v="2"/>
    <x v="0"/>
    <x v="1"/>
    <x v="0"/>
    <x v="432"/>
    <x v="2"/>
    <x v="1"/>
    <x v="3"/>
  </r>
  <r>
    <x v="356"/>
    <x v="356"/>
    <x v="14"/>
    <x v="1"/>
    <x v="7"/>
    <x v="116"/>
    <x v="17"/>
    <x v="1"/>
    <x v="1"/>
    <x v="6"/>
    <x v="4"/>
    <x v="1"/>
    <x v="0"/>
    <x v="245"/>
    <x v="1"/>
    <x v="99"/>
    <x v="105"/>
    <x v="95"/>
    <x v="1"/>
    <x v="1"/>
    <x v="0"/>
    <x v="3"/>
    <x v="17"/>
    <x v="1"/>
    <x v="1"/>
    <x v="0"/>
  </r>
  <r>
    <x v="357"/>
    <x v="357"/>
    <x v="25"/>
    <x v="1"/>
    <x v="7"/>
    <x v="120"/>
    <x v="48"/>
    <x v="1"/>
    <x v="1"/>
    <x v="1"/>
    <x v="3"/>
    <x v="1"/>
    <x v="0"/>
    <x v="277"/>
    <x v="1"/>
    <x v="143"/>
    <x v="149"/>
    <x v="132"/>
    <x v="3"/>
    <x v="2"/>
    <x v="1"/>
    <x v="0"/>
    <x v="144"/>
    <x v="1"/>
    <x v="1"/>
    <x v="5"/>
  </r>
  <r>
    <x v="358"/>
    <x v="358"/>
    <x v="35"/>
    <x v="0"/>
    <x v="0"/>
    <x v="151"/>
    <x v="3"/>
    <x v="1"/>
    <x v="1"/>
    <x v="1"/>
    <x v="6"/>
    <x v="5"/>
    <x v="0"/>
    <x v="473"/>
    <x v="2"/>
    <x v="222"/>
    <x v="220"/>
    <x v="222"/>
    <x v="2"/>
    <x v="1"/>
    <x v="1"/>
    <x v="0"/>
    <x v="283"/>
    <x v="2"/>
    <x v="1"/>
    <x v="0"/>
  </r>
  <r>
    <x v="359"/>
    <x v="359"/>
    <x v="41"/>
    <x v="0"/>
    <x v="7"/>
    <x v="93"/>
    <x v="18"/>
    <x v="0"/>
    <x v="1"/>
    <x v="1"/>
    <x v="6"/>
    <x v="5"/>
    <x v="1"/>
    <x v="384"/>
    <x v="2"/>
    <x v="336"/>
    <x v="332"/>
    <x v="378"/>
    <x v="2"/>
    <x v="1"/>
    <x v="1"/>
    <x v="3"/>
    <x v="453"/>
    <x v="2"/>
    <x v="1"/>
    <x v="4"/>
  </r>
  <r>
    <x v="360"/>
    <x v="360"/>
    <x v="25"/>
    <x v="1"/>
    <x v="7"/>
    <x v="77"/>
    <x v="45"/>
    <x v="0"/>
    <x v="1"/>
    <x v="1"/>
    <x v="6"/>
    <x v="5"/>
    <x v="0"/>
    <x v="337"/>
    <x v="1"/>
    <x v="177"/>
    <x v="184"/>
    <x v="146"/>
    <x v="3"/>
    <x v="2"/>
    <x v="1"/>
    <x v="0"/>
    <x v="125"/>
    <x v="2"/>
    <x v="1"/>
    <x v="5"/>
  </r>
  <r>
    <x v="361"/>
    <x v="361"/>
    <x v="13"/>
    <x v="1"/>
    <x v="1"/>
    <x v="2"/>
    <x v="34"/>
    <x v="0"/>
    <x v="0"/>
    <x v="3"/>
    <x v="1"/>
    <x v="4"/>
    <x v="3"/>
    <x v="135"/>
    <x v="2"/>
    <x v="370"/>
    <x v="370"/>
    <x v="358"/>
    <x v="3"/>
    <x v="2"/>
    <x v="1"/>
    <x v="2"/>
    <x v="202"/>
    <x v="0"/>
    <x v="0"/>
    <x v="4"/>
  </r>
  <r>
    <x v="362"/>
    <x v="362"/>
    <x v="35"/>
    <x v="0"/>
    <x v="6"/>
    <x v="138"/>
    <x v="49"/>
    <x v="1"/>
    <x v="1"/>
    <x v="1"/>
    <x v="6"/>
    <x v="5"/>
    <x v="1"/>
    <x v="486"/>
    <x v="1"/>
    <x v="396"/>
    <x v="390"/>
    <x v="408"/>
    <x v="1"/>
    <x v="1"/>
    <x v="1"/>
    <x v="4"/>
    <x v="424"/>
    <x v="0"/>
    <x v="1"/>
    <x v="0"/>
  </r>
  <r>
    <x v="363"/>
    <x v="363"/>
    <x v="20"/>
    <x v="1"/>
    <x v="4"/>
    <x v="156"/>
    <x v="39"/>
    <x v="0"/>
    <x v="1"/>
    <x v="3"/>
    <x v="5"/>
    <x v="0"/>
    <x v="0"/>
    <x v="50"/>
    <x v="2"/>
    <x v="32"/>
    <x v="32"/>
    <x v="26"/>
    <x v="2"/>
    <x v="2"/>
    <x v="1"/>
    <x v="5"/>
    <x v="187"/>
    <x v="1"/>
    <x v="1"/>
    <x v="4"/>
  </r>
  <r>
    <x v="364"/>
    <x v="364"/>
    <x v="25"/>
    <x v="1"/>
    <x v="7"/>
    <x v="118"/>
    <x v="3"/>
    <x v="1"/>
    <x v="0"/>
    <x v="1"/>
    <x v="3"/>
    <x v="1"/>
    <x v="4"/>
    <x v="394"/>
    <x v="1"/>
    <x v="488"/>
    <x v="488"/>
    <x v="496"/>
    <x v="3"/>
    <x v="2"/>
    <x v="1"/>
    <x v="0"/>
    <x v="349"/>
    <x v="0"/>
    <x v="0"/>
    <x v="5"/>
  </r>
  <r>
    <x v="365"/>
    <x v="365"/>
    <x v="56"/>
    <x v="0"/>
    <x v="2"/>
    <x v="104"/>
    <x v="37"/>
    <x v="1"/>
    <x v="1"/>
    <x v="3"/>
    <x v="5"/>
    <x v="0"/>
    <x v="0"/>
    <x v="68"/>
    <x v="1"/>
    <x v="46"/>
    <x v="48"/>
    <x v="35"/>
    <x v="3"/>
    <x v="1"/>
    <x v="1"/>
    <x v="4"/>
    <x v="109"/>
    <x v="1"/>
    <x v="1"/>
    <x v="0"/>
  </r>
  <r>
    <x v="366"/>
    <x v="366"/>
    <x v="10"/>
    <x v="1"/>
    <x v="2"/>
    <x v="4"/>
    <x v="9"/>
    <x v="1"/>
    <x v="1"/>
    <x v="6"/>
    <x v="4"/>
    <x v="1"/>
    <x v="0"/>
    <x v="213"/>
    <x v="1"/>
    <x v="92"/>
    <x v="91"/>
    <x v="94"/>
    <x v="1"/>
    <x v="2"/>
    <x v="1"/>
    <x v="4"/>
    <x v="268"/>
    <x v="1"/>
    <x v="1"/>
    <x v="1"/>
  </r>
  <r>
    <x v="367"/>
    <x v="367"/>
    <x v="37"/>
    <x v="0"/>
    <x v="6"/>
    <x v="75"/>
    <x v="38"/>
    <x v="1"/>
    <x v="0"/>
    <x v="4"/>
    <x v="7"/>
    <x v="3"/>
    <x v="3"/>
    <x v="180"/>
    <x v="0"/>
    <x v="413"/>
    <x v="419"/>
    <x v="401"/>
    <x v="2"/>
    <x v="0"/>
    <x v="1"/>
    <x v="2"/>
    <x v="32"/>
    <x v="0"/>
    <x v="0"/>
    <x v="3"/>
  </r>
  <r>
    <x v="368"/>
    <x v="368"/>
    <x v="35"/>
    <x v="0"/>
    <x v="0"/>
    <x v="109"/>
    <x v="37"/>
    <x v="1"/>
    <x v="0"/>
    <x v="4"/>
    <x v="7"/>
    <x v="3"/>
    <x v="2"/>
    <x v="214"/>
    <x v="1"/>
    <x v="372"/>
    <x v="366"/>
    <x v="379"/>
    <x v="2"/>
    <x v="2"/>
    <x v="1"/>
    <x v="2"/>
    <x v="306"/>
    <x v="0"/>
    <x v="0"/>
    <x v="0"/>
  </r>
  <r>
    <x v="369"/>
    <x v="369"/>
    <x v="41"/>
    <x v="0"/>
    <x v="1"/>
    <x v="124"/>
    <x v="36"/>
    <x v="0"/>
    <x v="1"/>
    <x v="3"/>
    <x v="1"/>
    <x v="4"/>
    <x v="0"/>
    <x v="105"/>
    <x v="0"/>
    <x v="70"/>
    <x v="69"/>
    <x v="59"/>
    <x v="2"/>
    <x v="2"/>
    <x v="1"/>
    <x v="0"/>
    <x v="151"/>
    <x v="1"/>
    <x v="1"/>
    <x v="4"/>
  </r>
  <r>
    <x v="370"/>
    <x v="370"/>
    <x v="16"/>
    <x v="1"/>
    <x v="7"/>
    <x v="148"/>
    <x v="38"/>
    <x v="1"/>
    <x v="1"/>
    <x v="3"/>
    <x v="1"/>
    <x v="4"/>
    <x v="1"/>
    <x v="84"/>
    <x v="2"/>
    <x v="144"/>
    <x v="160"/>
    <x v="113"/>
    <x v="3"/>
    <x v="2"/>
    <x v="1"/>
    <x v="2"/>
    <x v="10"/>
    <x v="1"/>
    <x v="1"/>
    <x v="3"/>
  </r>
  <r>
    <x v="371"/>
    <x v="371"/>
    <x v="11"/>
    <x v="1"/>
    <x v="6"/>
    <x v="44"/>
    <x v="22"/>
    <x v="1"/>
    <x v="1"/>
    <x v="6"/>
    <x v="4"/>
    <x v="1"/>
    <x v="0"/>
    <x v="254"/>
    <x v="1"/>
    <x v="111"/>
    <x v="112"/>
    <x v="115"/>
    <x v="3"/>
    <x v="2"/>
    <x v="1"/>
    <x v="0"/>
    <x v="252"/>
    <x v="1"/>
    <x v="1"/>
    <x v="5"/>
  </r>
  <r>
    <x v="372"/>
    <x v="372"/>
    <x v="12"/>
    <x v="1"/>
    <x v="0"/>
    <x v="21"/>
    <x v="18"/>
    <x v="0"/>
    <x v="1"/>
    <x v="6"/>
    <x v="4"/>
    <x v="1"/>
    <x v="1"/>
    <x v="257"/>
    <x v="2"/>
    <x v="305"/>
    <x v="301"/>
    <x v="327"/>
    <x v="3"/>
    <x v="2"/>
    <x v="1"/>
    <x v="3"/>
    <x v="469"/>
    <x v="2"/>
    <x v="1"/>
    <x v="6"/>
  </r>
  <r>
    <x v="373"/>
    <x v="373"/>
    <x v="0"/>
    <x v="1"/>
    <x v="1"/>
    <x v="12"/>
    <x v="18"/>
    <x v="0"/>
    <x v="1"/>
    <x v="3"/>
    <x v="5"/>
    <x v="0"/>
    <x v="1"/>
    <x v="62"/>
    <x v="3"/>
    <x v="112"/>
    <x v="118"/>
    <x v="103"/>
    <x v="1"/>
    <x v="2"/>
    <x v="1"/>
    <x v="0"/>
    <x v="50"/>
    <x v="1"/>
    <x v="1"/>
    <x v="0"/>
  </r>
  <r>
    <x v="374"/>
    <x v="374"/>
    <x v="57"/>
    <x v="0"/>
    <x v="7"/>
    <x v="74"/>
    <x v="36"/>
    <x v="0"/>
    <x v="1"/>
    <x v="1"/>
    <x v="3"/>
    <x v="1"/>
    <x v="0"/>
    <x v="378"/>
    <x v="1"/>
    <x v="203"/>
    <x v="210"/>
    <x v="171"/>
    <x v="3"/>
    <x v="0"/>
    <x v="1"/>
    <x v="1"/>
    <x v="145"/>
    <x v="2"/>
    <x v="1"/>
    <x v="2"/>
  </r>
  <r>
    <x v="375"/>
    <x v="375"/>
    <x v="50"/>
    <x v="0"/>
    <x v="1"/>
    <x v="9"/>
    <x v="17"/>
    <x v="1"/>
    <x v="1"/>
    <x v="4"/>
    <x v="7"/>
    <x v="3"/>
    <x v="0"/>
    <x v="218"/>
    <x v="0"/>
    <x v="97"/>
    <x v="98"/>
    <x v="97"/>
    <x v="3"/>
    <x v="1"/>
    <x v="1"/>
    <x v="4"/>
    <x v="217"/>
    <x v="1"/>
    <x v="1"/>
    <x v="2"/>
  </r>
  <r>
    <x v="376"/>
    <x v="376"/>
    <x v="19"/>
    <x v="1"/>
    <x v="1"/>
    <x v="46"/>
    <x v="44"/>
    <x v="0"/>
    <x v="1"/>
    <x v="1"/>
    <x v="6"/>
    <x v="5"/>
    <x v="0"/>
    <x v="358"/>
    <x v="0"/>
    <x v="230"/>
    <x v="237"/>
    <x v="161"/>
    <x v="1"/>
    <x v="2"/>
    <x v="1"/>
    <x v="0"/>
    <x v="26"/>
    <x v="2"/>
    <x v="1"/>
    <x v="6"/>
  </r>
  <r>
    <x v="377"/>
    <x v="377"/>
    <x v="35"/>
    <x v="0"/>
    <x v="6"/>
    <x v="59"/>
    <x v="41"/>
    <x v="1"/>
    <x v="1"/>
    <x v="1"/>
    <x v="6"/>
    <x v="5"/>
    <x v="0"/>
    <x v="457"/>
    <x v="1"/>
    <x v="240"/>
    <x v="238"/>
    <x v="236"/>
    <x v="1"/>
    <x v="2"/>
    <x v="1"/>
    <x v="3"/>
    <x v="249"/>
    <x v="2"/>
    <x v="1"/>
    <x v="0"/>
  </r>
  <r>
    <x v="378"/>
    <x v="378"/>
    <x v="33"/>
    <x v="0"/>
    <x v="4"/>
    <x v="2"/>
    <x v="27"/>
    <x v="0"/>
    <x v="0"/>
    <x v="3"/>
    <x v="5"/>
    <x v="0"/>
    <x v="2"/>
    <x v="144"/>
    <x v="2"/>
    <x v="296"/>
    <x v="299"/>
    <x v="299"/>
    <x v="3"/>
    <x v="1"/>
    <x v="1"/>
    <x v="2"/>
    <x v="339"/>
    <x v="2"/>
    <x v="0"/>
    <x v="6"/>
  </r>
  <r>
    <x v="379"/>
    <x v="379"/>
    <x v="25"/>
    <x v="1"/>
    <x v="7"/>
    <x v="128"/>
    <x v="31"/>
    <x v="0"/>
    <x v="0"/>
    <x v="1"/>
    <x v="3"/>
    <x v="1"/>
    <x v="2"/>
    <x v="312"/>
    <x v="3"/>
    <x v="418"/>
    <x v="416"/>
    <x v="422"/>
    <x v="3"/>
    <x v="2"/>
    <x v="0"/>
    <x v="1"/>
    <x v="348"/>
    <x v="0"/>
    <x v="0"/>
    <x v="5"/>
  </r>
  <r>
    <x v="380"/>
    <x v="380"/>
    <x v="24"/>
    <x v="1"/>
    <x v="7"/>
    <x v="159"/>
    <x v="8"/>
    <x v="1"/>
    <x v="0"/>
    <x v="3"/>
    <x v="5"/>
    <x v="0"/>
    <x v="2"/>
    <x v="90"/>
    <x v="0"/>
    <x v="299"/>
    <x v="303"/>
    <x v="287"/>
    <x v="3"/>
    <x v="1"/>
    <x v="1"/>
    <x v="3"/>
    <x v="25"/>
    <x v="2"/>
    <x v="0"/>
    <x v="1"/>
  </r>
  <r>
    <x v="381"/>
    <x v="381"/>
    <x v="50"/>
    <x v="0"/>
    <x v="2"/>
    <x v="38"/>
    <x v="9"/>
    <x v="1"/>
    <x v="0"/>
    <x v="3"/>
    <x v="5"/>
    <x v="0"/>
    <x v="4"/>
    <x v="51"/>
    <x v="2"/>
    <x v="394"/>
    <x v="393"/>
    <x v="394"/>
    <x v="2"/>
    <x v="1"/>
    <x v="1"/>
    <x v="0"/>
    <x v="266"/>
    <x v="0"/>
    <x v="0"/>
    <x v="2"/>
  </r>
  <r>
    <x v="382"/>
    <x v="382"/>
    <x v="42"/>
    <x v="0"/>
    <x v="3"/>
    <x v="69"/>
    <x v="13"/>
    <x v="0"/>
    <x v="1"/>
    <x v="1"/>
    <x v="3"/>
    <x v="1"/>
    <x v="0"/>
    <x v="270"/>
    <x v="3"/>
    <x v="109"/>
    <x v="111"/>
    <x v="102"/>
    <x v="3"/>
    <x v="2"/>
    <x v="1"/>
    <x v="5"/>
    <x v="135"/>
    <x v="1"/>
    <x v="1"/>
    <x v="0"/>
  </r>
  <r>
    <x v="383"/>
    <x v="383"/>
    <x v="8"/>
    <x v="1"/>
    <x v="1"/>
    <x v="94"/>
    <x v="19"/>
    <x v="0"/>
    <x v="0"/>
    <x v="3"/>
    <x v="5"/>
    <x v="0"/>
    <x v="4"/>
    <x v="76"/>
    <x v="0"/>
    <x v="415"/>
    <x v="413"/>
    <x v="420"/>
    <x v="2"/>
    <x v="0"/>
    <x v="1"/>
    <x v="3"/>
    <x v="387"/>
    <x v="0"/>
    <x v="0"/>
    <x v="2"/>
  </r>
  <r>
    <x v="384"/>
    <x v="384"/>
    <x v="38"/>
    <x v="0"/>
    <x v="7"/>
    <x v="94"/>
    <x v="47"/>
    <x v="1"/>
    <x v="0"/>
    <x v="1"/>
    <x v="3"/>
    <x v="1"/>
    <x v="4"/>
    <x v="415"/>
    <x v="3"/>
    <x v="482"/>
    <x v="482"/>
    <x v="478"/>
    <x v="2"/>
    <x v="2"/>
    <x v="1"/>
    <x v="5"/>
    <x v="155"/>
    <x v="0"/>
    <x v="0"/>
    <x v="1"/>
  </r>
  <r>
    <x v="385"/>
    <x v="385"/>
    <x v="37"/>
    <x v="0"/>
    <x v="6"/>
    <x v="8"/>
    <x v="23"/>
    <x v="0"/>
    <x v="1"/>
    <x v="1"/>
    <x v="3"/>
    <x v="1"/>
    <x v="0"/>
    <x v="389"/>
    <x v="2"/>
    <x v="162"/>
    <x v="158"/>
    <x v="209"/>
    <x v="3"/>
    <x v="0"/>
    <x v="1"/>
    <x v="5"/>
    <x v="408"/>
    <x v="1"/>
    <x v="1"/>
    <x v="3"/>
  </r>
  <r>
    <x v="386"/>
    <x v="386"/>
    <x v="33"/>
    <x v="0"/>
    <x v="7"/>
    <x v="145"/>
    <x v="44"/>
    <x v="0"/>
    <x v="0"/>
    <x v="4"/>
    <x v="7"/>
    <x v="3"/>
    <x v="4"/>
    <x v="203"/>
    <x v="0"/>
    <x v="452"/>
    <x v="452"/>
    <x v="455"/>
    <x v="3"/>
    <x v="1"/>
    <x v="1"/>
    <x v="0"/>
    <x v="356"/>
    <x v="0"/>
    <x v="0"/>
    <x v="6"/>
  </r>
  <r>
    <x v="387"/>
    <x v="387"/>
    <x v="53"/>
    <x v="0"/>
    <x v="5"/>
    <x v="43"/>
    <x v="0"/>
    <x v="1"/>
    <x v="1"/>
    <x v="1"/>
    <x v="6"/>
    <x v="5"/>
    <x v="0"/>
    <x v="373"/>
    <x v="1"/>
    <x v="197"/>
    <x v="204"/>
    <x v="168"/>
    <x v="2"/>
    <x v="2"/>
    <x v="1"/>
    <x v="4"/>
    <x v="148"/>
    <x v="2"/>
    <x v="1"/>
    <x v="5"/>
  </r>
  <r>
    <x v="388"/>
    <x v="388"/>
    <x v="0"/>
    <x v="1"/>
    <x v="4"/>
    <x v="24"/>
    <x v="44"/>
    <x v="0"/>
    <x v="1"/>
    <x v="3"/>
    <x v="1"/>
    <x v="4"/>
    <x v="0"/>
    <x v="151"/>
    <x v="0"/>
    <x v="75"/>
    <x v="76"/>
    <x v="74"/>
    <x v="2"/>
    <x v="1"/>
    <x v="1"/>
    <x v="3"/>
    <x v="251"/>
    <x v="1"/>
    <x v="1"/>
    <x v="0"/>
  </r>
  <r>
    <x v="389"/>
    <x v="389"/>
    <x v="49"/>
    <x v="0"/>
    <x v="1"/>
    <x v="90"/>
    <x v="30"/>
    <x v="0"/>
    <x v="1"/>
    <x v="3"/>
    <x v="5"/>
    <x v="0"/>
    <x v="0"/>
    <x v="38"/>
    <x v="0"/>
    <x v="41"/>
    <x v="44"/>
    <x v="29"/>
    <x v="2"/>
    <x v="1"/>
    <x v="2"/>
    <x v="5"/>
    <x v="45"/>
    <x v="1"/>
    <x v="1"/>
    <x v="0"/>
  </r>
  <r>
    <x v="390"/>
    <x v="390"/>
    <x v="57"/>
    <x v="0"/>
    <x v="1"/>
    <x v="160"/>
    <x v="6"/>
    <x v="1"/>
    <x v="1"/>
    <x v="6"/>
    <x v="4"/>
    <x v="1"/>
    <x v="1"/>
    <x v="199"/>
    <x v="1"/>
    <x v="272"/>
    <x v="271"/>
    <x v="280"/>
    <x v="2"/>
    <x v="1"/>
    <x v="1"/>
    <x v="3"/>
    <x v="314"/>
    <x v="2"/>
    <x v="1"/>
    <x v="2"/>
  </r>
  <r>
    <x v="391"/>
    <x v="391"/>
    <x v="2"/>
    <x v="1"/>
    <x v="3"/>
    <x v="29"/>
    <x v="48"/>
    <x v="1"/>
    <x v="1"/>
    <x v="3"/>
    <x v="5"/>
    <x v="0"/>
    <x v="1"/>
    <x v="43"/>
    <x v="1"/>
    <x v="134"/>
    <x v="135"/>
    <x v="142"/>
    <x v="3"/>
    <x v="1"/>
    <x v="2"/>
    <x v="2"/>
    <x v="258"/>
    <x v="1"/>
    <x v="1"/>
    <x v="3"/>
  </r>
  <r>
    <x v="392"/>
    <x v="392"/>
    <x v="43"/>
    <x v="0"/>
    <x v="2"/>
    <x v="80"/>
    <x v="0"/>
    <x v="1"/>
    <x v="1"/>
    <x v="4"/>
    <x v="7"/>
    <x v="3"/>
    <x v="1"/>
    <x v="184"/>
    <x v="3"/>
    <x v="249"/>
    <x v="253"/>
    <x v="229"/>
    <x v="3"/>
    <x v="0"/>
    <x v="1"/>
    <x v="2"/>
    <x v="159"/>
    <x v="2"/>
    <x v="1"/>
    <x v="2"/>
  </r>
  <r>
    <x v="393"/>
    <x v="393"/>
    <x v="10"/>
    <x v="1"/>
    <x v="6"/>
    <x v="72"/>
    <x v="5"/>
    <x v="0"/>
    <x v="1"/>
    <x v="1"/>
    <x v="6"/>
    <x v="5"/>
    <x v="0"/>
    <x v="296"/>
    <x v="1"/>
    <x v="159"/>
    <x v="174"/>
    <x v="124"/>
    <x v="2"/>
    <x v="1"/>
    <x v="1"/>
    <x v="5"/>
    <x v="23"/>
    <x v="1"/>
    <x v="1"/>
    <x v="1"/>
  </r>
  <r>
    <x v="394"/>
    <x v="394"/>
    <x v="43"/>
    <x v="0"/>
    <x v="6"/>
    <x v="22"/>
    <x v="41"/>
    <x v="1"/>
    <x v="0"/>
    <x v="3"/>
    <x v="1"/>
    <x v="4"/>
    <x v="2"/>
    <x v="92"/>
    <x v="1"/>
    <x v="292"/>
    <x v="292"/>
    <x v="292"/>
    <x v="1"/>
    <x v="2"/>
    <x v="2"/>
    <x v="5"/>
    <x v="243"/>
    <x v="2"/>
    <x v="0"/>
    <x v="2"/>
  </r>
  <r>
    <x v="395"/>
    <x v="395"/>
    <x v="10"/>
    <x v="1"/>
    <x v="1"/>
    <x v="42"/>
    <x v="47"/>
    <x v="1"/>
    <x v="1"/>
    <x v="3"/>
    <x v="5"/>
    <x v="0"/>
    <x v="0"/>
    <x v="46"/>
    <x v="0"/>
    <x v="50"/>
    <x v="52"/>
    <x v="36"/>
    <x v="3"/>
    <x v="2"/>
    <x v="1"/>
    <x v="3"/>
    <x v="64"/>
    <x v="1"/>
    <x v="1"/>
    <x v="1"/>
  </r>
  <r>
    <x v="396"/>
    <x v="396"/>
    <x v="43"/>
    <x v="0"/>
    <x v="0"/>
    <x v="21"/>
    <x v="3"/>
    <x v="1"/>
    <x v="1"/>
    <x v="1"/>
    <x v="6"/>
    <x v="5"/>
    <x v="1"/>
    <x v="445"/>
    <x v="0"/>
    <x v="398"/>
    <x v="396"/>
    <x v="409"/>
    <x v="3"/>
    <x v="1"/>
    <x v="1"/>
    <x v="2"/>
    <x v="434"/>
    <x v="0"/>
    <x v="1"/>
    <x v="2"/>
  </r>
  <r>
    <x v="397"/>
    <x v="397"/>
    <x v="10"/>
    <x v="1"/>
    <x v="1"/>
    <x v="3"/>
    <x v="40"/>
    <x v="1"/>
    <x v="1"/>
    <x v="1"/>
    <x v="6"/>
    <x v="5"/>
    <x v="0"/>
    <x v="487"/>
    <x v="1"/>
    <x v="250"/>
    <x v="244"/>
    <x v="260"/>
    <x v="1"/>
    <x v="2"/>
    <x v="1"/>
    <x v="5"/>
    <x v="392"/>
    <x v="2"/>
    <x v="1"/>
    <x v="1"/>
  </r>
  <r>
    <x v="398"/>
    <x v="398"/>
    <x v="48"/>
    <x v="0"/>
    <x v="5"/>
    <x v="33"/>
    <x v="4"/>
    <x v="1"/>
    <x v="1"/>
    <x v="3"/>
    <x v="1"/>
    <x v="4"/>
    <x v="1"/>
    <x v="71"/>
    <x v="2"/>
    <x v="129"/>
    <x v="141"/>
    <x v="109"/>
    <x v="3"/>
    <x v="1"/>
    <x v="1"/>
    <x v="5"/>
    <x v="9"/>
    <x v="1"/>
    <x v="1"/>
    <x v="4"/>
  </r>
  <r>
    <x v="399"/>
    <x v="399"/>
    <x v="48"/>
    <x v="0"/>
    <x v="3"/>
    <x v="39"/>
    <x v="7"/>
    <x v="1"/>
    <x v="1"/>
    <x v="1"/>
    <x v="6"/>
    <x v="5"/>
    <x v="0"/>
    <x v="382"/>
    <x v="2"/>
    <x v="158"/>
    <x v="166"/>
    <x v="144"/>
    <x v="2"/>
    <x v="2"/>
    <x v="1"/>
    <x v="2"/>
    <x v="165"/>
    <x v="1"/>
    <x v="1"/>
    <x v="4"/>
  </r>
  <r>
    <x v="400"/>
    <x v="400"/>
    <x v="37"/>
    <x v="0"/>
    <x v="1"/>
    <x v="4"/>
    <x v="14"/>
    <x v="1"/>
    <x v="1"/>
    <x v="3"/>
    <x v="5"/>
    <x v="0"/>
    <x v="1"/>
    <x v="55"/>
    <x v="1"/>
    <x v="148"/>
    <x v="165"/>
    <x v="114"/>
    <x v="2"/>
    <x v="1"/>
    <x v="1"/>
    <x v="5"/>
    <x v="2"/>
    <x v="1"/>
    <x v="1"/>
    <x v="3"/>
  </r>
  <r>
    <x v="401"/>
    <x v="401"/>
    <x v="36"/>
    <x v="0"/>
    <x v="1"/>
    <x v="144"/>
    <x v="34"/>
    <x v="0"/>
    <x v="1"/>
    <x v="1"/>
    <x v="6"/>
    <x v="5"/>
    <x v="0"/>
    <x v="443"/>
    <x v="1"/>
    <x v="235"/>
    <x v="231"/>
    <x v="237"/>
    <x v="2"/>
    <x v="1"/>
    <x v="1"/>
    <x v="3"/>
    <x v="302"/>
    <x v="2"/>
    <x v="1"/>
    <x v="2"/>
  </r>
  <r>
    <x v="402"/>
    <x v="402"/>
    <x v="18"/>
    <x v="1"/>
    <x v="4"/>
    <x v="139"/>
    <x v="23"/>
    <x v="0"/>
    <x v="0"/>
    <x v="1"/>
    <x v="6"/>
    <x v="5"/>
    <x v="3"/>
    <x v="366"/>
    <x v="0"/>
    <x v="471"/>
    <x v="474"/>
    <x v="463"/>
    <x v="2"/>
    <x v="2"/>
    <x v="1"/>
    <x v="2"/>
    <x v="114"/>
    <x v="0"/>
    <x v="0"/>
    <x v="5"/>
  </r>
  <r>
    <x v="403"/>
    <x v="403"/>
    <x v="47"/>
    <x v="0"/>
    <x v="1"/>
    <x v="23"/>
    <x v="6"/>
    <x v="1"/>
    <x v="1"/>
    <x v="1"/>
    <x v="6"/>
    <x v="5"/>
    <x v="1"/>
    <x v="359"/>
    <x v="1"/>
    <x v="359"/>
    <x v="363"/>
    <x v="331"/>
    <x v="3"/>
    <x v="1"/>
    <x v="1"/>
    <x v="3"/>
    <x v="63"/>
    <x v="0"/>
    <x v="1"/>
    <x v="6"/>
  </r>
  <r>
    <x v="404"/>
    <x v="404"/>
    <x v="13"/>
    <x v="1"/>
    <x v="0"/>
    <x v="89"/>
    <x v="34"/>
    <x v="0"/>
    <x v="1"/>
    <x v="1"/>
    <x v="6"/>
    <x v="5"/>
    <x v="1"/>
    <x v="370"/>
    <x v="1"/>
    <x v="362"/>
    <x v="362"/>
    <x v="352"/>
    <x v="3"/>
    <x v="2"/>
    <x v="1"/>
    <x v="4"/>
    <x v="193"/>
    <x v="0"/>
    <x v="1"/>
    <x v="4"/>
  </r>
  <r>
    <x v="405"/>
    <x v="405"/>
    <x v="35"/>
    <x v="0"/>
    <x v="6"/>
    <x v="18"/>
    <x v="13"/>
    <x v="0"/>
    <x v="1"/>
    <x v="1"/>
    <x v="6"/>
    <x v="5"/>
    <x v="1"/>
    <x v="439"/>
    <x v="1"/>
    <x v="384"/>
    <x v="389"/>
    <x v="340"/>
    <x v="3"/>
    <x v="2"/>
    <x v="1"/>
    <x v="5"/>
    <x v="11"/>
    <x v="0"/>
    <x v="1"/>
    <x v="0"/>
  </r>
  <r>
    <x v="406"/>
    <x v="406"/>
    <x v="42"/>
    <x v="0"/>
    <x v="4"/>
    <x v="44"/>
    <x v="26"/>
    <x v="0"/>
    <x v="1"/>
    <x v="4"/>
    <x v="7"/>
    <x v="3"/>
    <x v="0"/>
    <x v="219"/>
    <x v="1"/>
    <x v="93"/>
    <x v="92"/>
    <x v="96"/>
    <x v="1"/>
    <x v="1"/>
    <x v="1"/>
    <x v="1"/>
    <x v="327"/>
    <x v="1"/>
    <x v="1"/>
    <x v="0"/>
  </r>
  <r>
    <x v="407"/>
    <x v="407"/>
    <x v="11"/>
    <x v="1"/>
    <x v="7"/>
    <x v="93"/>
    <x v="18"/>
    <x v="0"/>
    <x v="0"/>
    <x v="6"/>
    <x v="4"/>
    <x v="1"/>
    <x v="3"/>
    <x v="234"/>
    <x v="2"/>
    <x v="428"/>
    <x v="426"/>
    <x v="429"/>
    <x v="3"/>
    <x v="2"/>
    <x v="1"/>
    <x v="3"/>
    <x v="287"/>
    <x v="0"/>
    <x v="0"/>
    <x v="5"/>
  </r>
  <r>
    <x v="408"/>
    <x v="408"/>
    <x v="13"/>
    <x v="1"/>
    <x v="7"/>
    <x v="28"/>
    <x v="31"/>
    <x v="0"/>
    <x v="1"/>
    <x v="1"/>
    <x v="6"/>
    <x v="5"/>
    <x v="0"/>
    <x v="399"/>
    <x v="0"/>
    <x v="239"/>
    <x v="240"/>
    <x v="221"/>
    <x v="1"/>
    <x v="2"/>
    <x v="1"/>
    <x v="3"/>
    <x v="195"/>
    <x v="2"/>
    <x v="1"/>
    <x v="4"/>
  </r>
  <r>
    <x v="409"/>
    <x v="409"/>
    <x v="7"/>
    <x v="1"/>
    <x v="1"/>
    <x v="137"/>
    <x v="37"/>
    <x v="1"/>
    <x v="1"/>
    <x v="6"/>
    <x v="4"/>
    <x v="1"/>
    <x v="0"/>
    <x v="232"/>
    <x v="0"/>
    <x v="100"/>
    <x v="103"/>
    <x v="98"/>
    <x v="3"/>
    <x v="1"/>
    <x v="1"/>
    <x v="3"/>
    <x v="131"/>
    <x v="1"/>
    <x v="1"/>
    <x v="0"/>
  </r>
  <r>
    <x v="410"/>
    <x v="410"/>
    <x v="47"/>
    <x v="0"/>
    <x v="1"/>
    <x v="75"/>
    <x v="24"/>
    <x v="1"/>
    <x v="1"/>
    <x v="0"/>
    <x v="2"/>
    <x v="2"/>
    <x v="0"/>
    <x v="1"/>
    <x v="0"/>
    <x v="0"/>
    <x v="0"/>
    <x v="0"/>
    <x v="3"/>
    <x v="2"/>
    <x v="1"/>
    <x v="2"/>
    <x v="492"/>
    <x v="1"/>
    <x v="1"/>
    <x v="6"/>
  </r>
  <r>
    <x v="411"/>
    <x v="411"/>
    <x v="6"/>
    <x v="1"/>
    <x v="7"/>
    <x v="155"/>
    <x v="44"/>
    <x v="0"/>
    <x v="1"/>
    <x v="1"/>
    <x v="6"/>
    <x v="5"/>
    <x v="1"/>
    <x v="306"/>
    <x v="1"/>
    <x v="337"/>
    <x v="338"/>
    <x v="355"/>
    <x v="3"/>
    <x v="1"/>
    <x v="1"/>
    <x v="0"/>
    <x v="318"/>
    <x v="2"/>
    <x v="1"/>
    <x v="4"/>
  </r>
  <r>
    <x v="412"/>
    <x v="412"/>
    <x v="1"/>
    <x v="1"/>
    <x v="6"/>
    <x v="149"/>
    <x v="18"/>
    <x v="0"/>
    <x v="0"/>
    <x v="1"/>
    <x v="3"/>
    <x v="1"/>
    <x v="4"/>
    <x v="336"/>
    <x v="0"/>
    <x v="490"/>
    <x v="491"/>
    <x v="492"/>
    <x v="2"/>
    <x v="2"/>
    <x v="1"/>
    <x v="3"/>
    <x v="208"/>
    <x v="0"/>
    <x v="0"/>
    <x v="2"/>
  </r>
  <r>
    <x v="413"/>
    <x v="413"/>
    <x v="9"/>
    <x v="1"/>
    <x v="5"/>
    <x v="112"/>
    <x v="16"/>
    <x v="0"/>
    <x v="1"/>
    <x v="1"/>
    <x v="3"/>
    <x v="1"/>
    <x v="0"/>
    <x v="268"/>
    <x v="0"/>
    <x v="160"/>
    <x v="148"/>
    <x v="218"/>
    <x v="3"/>
    <x v="1"/>
    <x v="1"/>
    <x v="0"/>
    <x v="452"/>
    <x v="1"/>
    <x v="1"/>
    <x v="3"/>
  </r>
  <r>
    <x v="414"/>
    <x v="414"/>
    <x v="49"/>
    <x v="0"/>
    <x v="7"/>
    <x v="124"/>
    <x v="20"/>
    <x v="0"/>
    <x v="1"/>
    <x v="1"/>
    <x v="3"/>
    <x v="1"/>
    <x v="0"/>
    <x v="274"/>
    <x v="1"/>
    <x v="138"/>
    <x v="145"/>
    <x v="120"/>
    <x v="3"/>
    <x v="1"/>
    <x v="1"/>
    <x v="1"/>
    <x v="91"/>
    <x v="1"/>
    <x v="1"/>
    <x v="0"/>
  </r>
  <r>
    <x v="415"/>
    <x v="415"/>
    <x v="52"/>
    <x v="0"/>
    <x v="1"/>
    <x v="107"/>
    <x v="14"/>
    <x v="1"/>
    <x v="1"/>
    <x v="1"/>
    <x v="3"/>
    <x v="1"/>
    <x v="0"/>
    <x v="298"/>
    <x v="0"/>
    <x v="204"/>
    <x v="196"/>
    <x v="208"/>
    <x v="3"/>
    <x v="1"/>
    <x v="1"/>
    <x v="2"/>
    <x v="284"/>
    <x v="2"/>
    <x v="1"/>
    <x v="1"/>
  </r>
  <r>
    <x v="416"/>
    <x v="416"/>
    <x v="43"/>
    <x v="0"/>
    <x v="7"/>
    <x v="19"/>
    <x v="4"/>
    <x v="1"/>
    <x v="1"/>
    <x v="4"/>
    <x v="7"/>
    <x v="3"/>
    <x v="1"/>
    <x v="206"/>
    <x v="1"/>
    <x v="277"/>
    <x v="280"/>
    <x v="270"/>
    <x v="3"/>
    <x v="2"/>
    <x v="1"/>
    <x v="1"/>
    <x v="65"/>
    <x v="2"/>
    <x v="1"/>
    <x v="2"/>
  </r>
  <r>
    <x v="417"/>
    <x v="417"/>
    <x v="59"/>
    <x v="0"/>
    <x v="0"/>
    <x v="147"/>
    <x v="32"/>
    <x v="0"/>
    <x v="1"/>
    <x v="3"/>
    <x v="5"/>
    <x v="0"/>
    <x v="0"/>
    <x v="115"/>
    <x v="2"/>
    <x v="52"/>
    <x v="50"/>
    <x v="60"/>
    <x v="3"/>
    <x v="1"/>
    <x v="1"/>
    <x v="1"/>
    <x v="377"/>
    <x v="1"/>
    <x v="1"/>
    <x v="1"/>
  </r>
  <r>
    <x v="418"/>
    <x v="418"/>
    <x v="39"/>
    <x v="0"/>
    <x v="5"/>
    <x v="132"/>
    <x v="29"/>
    <x v="0"/>
    <x v="0"/>
    <x v="3"/>
    <x v="5"/>
    <x v="0"/>
    <x v="4"/>
    <x v="60"/>
    <x v="3"/>
    <x v="382"/>
    <x v="388"/>
    <x v="351"/>
    <x v="3"/>
    <x v="2"/>
    <x v="1"/>
    <x v="4"/>
    <x v="71"/>
    <x v="0"/>
    <x v="0"/>
    <x v="5"/>
  </r>
  <r>
    <x v="419"/>
    <x v="419"/>
    <x v="9"/>
    <x v="1"/>
    <x v="7"/>
    <x v="66"/>
    <x v="5"/>
    <x v="0"/>
    <x v="1"/>
    <x v="4"/>
    <x v="7"/>
    <x v="3"/>
    <x v="0"/>
    <x v="190"/>
    <x v="1"/>
    <x v="87"/>
    <x v="87"/>
    <x v="84"/>
    <x v="2"/>
    <x v="2"/>
    <x v="1"/>
    <x v="0"/>
    <x v="297"/>
    <x v="1"/>
    <x v="1"/>
    <x v="3"/>
  </r>
  <r>
    <x v="420"/>
    <x v="420"/>
    <x v="42"/>
    <x v="0"/>
    <x v="4"/>
    <x v="108"/>
    <x v="23"/>
    <x v="0"/>
    <x v="0"/>
    <x v="1"/>
    <x v="6"/>
    <x v="5"/>
    <x v="4"/>
    <x v="420"/>
    <x v="0"/>
    <x v="499"/>
    <x v="497"/>
    <x v="498"/>
    <x v="1"/>
    <x v="2"/>
    <x v="1"/>
    <x v="5"/>
    <x v="299"/>
    <x v="0"/>
    <x v="0"/>
    <x v="0"/>
  </r>
  <r>
    <x v="421"/>
    <x v="421"/>
    <x v="51"/>
    <x v="0"/>
    <x v="0"/>
    <x v="28"/>
    <x v="49"/>
    <x v="1"/>
    <x v="1"/>
    <x v="1"/>
    <x v="6"/>
    <x v="5"/>
    <x v="0"/>
    <x v="447"/>
    <x v="3"/>
    <x v="156"/>
    <x v="164"/>
    <x v="151"/>
    <x v="3"/>
    <x v="2"/>
    <x v="1"/>
    <x v="0"/>
    <x v="194"/>
    <x v="1"/>
    <x v="1"/>
    <x v="3"/>
  </r>
  <r>
    <x v="422"/>
    <x v="422"/>
    <x v="18"/>
    <x v="1"/>
    <x v="1"/>
    <x v="73"/>
    <x v="10"/>
    <x v="1"/>
    <x v="0"/>
    <x v="6"/>
    <x v="4"/>
    <x v="1"/>
    <x v="3"/>
    <x v="207"/>
    <x v="3"/>
    <x v="408"/>
    <x v="408"/>
    <x v="411"/>
    <x v="3"/>
    <x v="1"/>
    <x v="1"/>
    <x v="1"/>
    <x v="272"/>
    <x v="0"/>
    <x v="0"/>
    <x v="5"/>
  </r>
  <r>
    <x v="423"/>
    <x v="423"/>
    <x v="18"/>
    <x v="1"/>
    <x v="7"/>
    <x v="81"/>
    <x v="19"/>
    <x v="0"/>
    <x v="1"/>
    <x v="3"/>
    <x v="5"/>
    <x v="0"/>
    <x v="1"/>
    <x v="72"/>
    <x v="0"/>
    <x v="202"/>
    <x v="177"/>
    <x v="242"/>
    <x v="2"/>
    <x v="1"/>
    <x v="1"/>
    <x v="5"/>
    <x v="465"/>
    <x v="2"/>
    <x v="1"/>
    <x v="5"/>
  </r>
  <r>
    <x v="424"/>
    <x v="424"/>
    <x v="17"/>
    <x v="1"/>
    <x v="7"/>
    <x v="106"/>
    <x v="4"/>
    <x v="1"/>
    <x v="0"/>
    <x v="1"/>
    <x v="3"/>
    <x v="1"/>
    <x v="2"/>
    <x v="386"/>
    <x v="0"/>
    <x v="446"/>
    <x v="445"/>
    <x v="450"/>
    <x v="2"/>
    <x v="2"/>
    <x v="0"/>
    <x v="3"/>
    <x v="365"/>
    <x v="0"/>
    <x v="0"/>
    <x v="1"/>
  </r>
  <r>
    <x v="425"/>
    <x v="425"/>
    <x v="3"/>
    <x v="1"/>
    <x v="7"/>
    <x v="127"/>
    <x v="4"/>
    <x v="1"/>
    <x v="1"/>
    <x v="3"/>
    <x v="1"/>
    <x v="4"/>
    <x v="0"/>
    <x v="66"/>
    <x v="0"/>
    <x v="54"/>
    <x v="56"/>
    <x v="40"/>
    <x v="3"/>
    <x v="1"/>
    <x v="1"/>
    <x v="2"/>
    <x v="31"/>
    <x v="1"/>
    <x v="1"/>
    <x v="1"/>
  </r>
  <r>
    <x v="426"/>
    <x v="426"/>
    <x v="55"/>
    <x v="0"/>
    <x v="4"/>
    <x v="15"/>
    <x v="29"/>
    <x v="0"/>
    <x v="0"/>
    <x v="0"/>
    <x v="2"/>
    <x v="2"/>
    <x v="2"/>
    <x v="0"/>
    <x v="1"/>
    <x v="6"/>
    <x v="6"/>
    <x v="10"/>
    <x v="2"/>
    <x v="1"/>
    <x v="1"/>
    <x v="5"/>
    <x v="495"/>
    <x v="1"/>
    <x v="0"/>
    <x v="4"/>
  </r>
  <r>
    <x v="427"/>
    <x v="427"/>
    <x v="2"/>
    <x v="1"/>
    <x v="4"/>
    <x v="14"/>
    <x v="28"/>
    <x v="1"/>
    <x v="1"/>
    <x v="1"/>
    <x v="6"/>
    <x v="5"/>
    <x v="1"/>
    <x v="338"/>
    <x v="1"/>
    <x v="351"/>
    <x v="341"/>
    <x v="384"/>
    <x v="1"/>
    <x v="1"/>
    <x v="1"/>
    <x v="0"/>
    <x v="450"/>
    <x v="0"/>
    <x v="1"/>
    <x v="3"/>
  </r>
  <r>
    <x v="428"/>
    <x v="428"/>
    <x v="2"/>
    <x v="1"/>
    <x v="4"/>
    <x v="37"/>
    <x v="43"/>
    <x v="0"/>
    <x v="1"/>
    <x v="3"/>
    <x v="5"/>
    <x v="0"/>
    <x v="0"/>
    <x v="27"/>
    <x v="1"/>
    <x v="25"/>
    <x v="27"/>
    <x v="43"/>
    <x v="2"/>
    <x v="2"/>
    <x v="1"/>
    <x v="5"/>
    <x v="421"/>
    <x v="1"/>
    <x v="1"/>
    <x v="3"/>
  </r>
  <r>
    <x v="429"/>
    <x v="429"/>
    <x v="18"/>
    <x v="1"/>
    <x v="4"/>
    <x v="90"/>
    <x v="7"/>
    <x v="1"/>
    <x v="1"/>
    <x v="1"/>
    <x v="3"/>
    <x v="1"/>
    <x v="1"/>
    <x v="278"/>
    <x v="1"/>
    <x v="328"/>
    <x v="333"/>
    <x v="319"/>
    <x v="3"/>
    <x v="2"/>
    <x v="2"/>
    <x v="1"/>
    <x v="66"/>
    <x v="2"/>
    <x v="1"/>
    <x v="5"/>
  </r>
  <r>
    <x v="430"/>
    <x v="430"/>
    <x v="8"/>
    <x v="1"/>
    <x v="6"/>
    <x v="22"/>
    <x v="21"/>
    <x v="1"/>
    <x v="1"/>
    <x v="1"/>
    <x v="3"/>
    <x v="1"/>
    <x v="0"/>
    <x v="262"/>
    <x v="0"/>
    <x v="154"/>
    <x v="157"/>
    <x v="180"/>
    <x v="2"/>
    <x v="2"/>
    <x v="1"/>
    <x v="4"/>
    <x v="326"/>
    <x v="1"/>
    <x v="1"/>
    <x v="2"/>
  </r>
  <r>
    <x v="431"/>
    <x v="431"/>
    <x v="17"/>
    <x v="1"/>
    <x v="1"/>
    <x v="27"/>
    <x v="19"/>
    <x v="0"/>
    <x v="1"/>
    <x v="3"/>
    <x v="5"/>
    <x v="0"/>
    <x v="0"/>
    <x v="41"/>
    <x v="2"/>
    <x v="27"/>
    <x v="28"/>
    <x v="44"/>
    <x v="2"/>
    <x v="2"/>
    <x v="1"/>
    <x v="2"/>
    <x v="419"/>
    <x v="1"/>
    <x v="1"/>
    <x v="1"/>
  </r>
  <r>
    <x v="432"/>
    <x v="432"/>
    <x v="17"/>
    <x v="1"/>
    <x v="3"/>
    <x v="111"/>
    <x v="49"/>
    <x v="1"/>
    <x v="1"/>
    <x v="1"/>
    <x v="3"/>
    <x v="1"/>
    <x v="0"/>
    <x v="328"/>
    <x v="0"/>
    <x v="217"/>
    <x v="226"/>
    <x v="158"/>
    <x v="2"/>
    <x v="2"/>
    <x v="1"/>
    <x v="2"/>
    <x v="61"/>
    <x v="2"/>
    <x v="1"/>
    <x v="1"/>
  </r>
  <r>
    <x v="433"/>
    <x v="433"/>
    <x v="47"/>
    <x v="0"/>
    <x v="7"/>
    <x v="142"/>
    <x v="36"/>
    <x v="0"/>
    <x v="0"/>
    <x v="1"/>
    <x v="6"/>
    <x v="5"/>
    <x v="2"/>
    <x v="378"/>
    <x v="3"/>
    <x v="426"/>
    <x v="428"/>
    <x v="412"/>
    <x v="2"/>
    <x v="2"/>
    <x v="1"/>
    <x v="1"/>
    <x v="47"/>
    <x v="0"/>
    <x v="0"/>
    <x v="6"/>
  </r>
  <r>
    <x v="434"/>
    <x v="434"/>
    <x v="55"/>
    <x v="0"/>
    <x v="0"/>
    <x v="21"/>
    <x v="25"/>
    <x v="0"/>
    <x v="0"/>
    <x v="1"/>
    <x v="3"/>
    <x v="1"/>
    <x v="4"/>
    <x v="418"/>
    <x v="1"/>
    <x v="491"/>
    <x v="490"/>
    <x v="495"/>
    <x v="0"/>
    <x v="1"/>
    <x v="1"/>
    <x v="1"/>
    <x v="250"/>
    <x v="0"/>
    <x v="0"/>
    <x v="4"/>
  </r>
  <r>
    <x v="435"/>
    <x v="435"/>
    <x v="29"/>
    <x v="1"/>
    <x v="2"/>
    <x v="58"/>
    <x v="45"/>
    <x v="0"/>
    <x v="1"/>
    <x v="1"/>
    <x v="6"/>
    <x v="5"/>
    <x v="1"/>
    <x v="400"/>
    <x v="2"/>
    <x v="343"/>
    <x v="356"/>
    <x v="322"/>
    <x v="3"/>
    <x v="1"/>
    <x v="0"/>
    <x v="1"/>
    <x v="14"/>
    <x v="2"/>
    <x v="1"/>
    <x v="2"/>
  </r>
  <r>
    <x v="436"/>
    <x v="436"/>
    <x v="53"/>
    <x v="0"/>
    <x v="4"/>
    <x v="105"/>
    <x v="41"/>
    <x v="1"/>
    <x v="1"/>
    <x v="3"/>
    <x v="1"/>
    <x v="4"/>
    <x v="1"/>
    <x v="167"/>
    <x v="3"/>
    <x v="214"/>
    <x v="223"/>
    <x v="165"/>
    <x v="3"/>
    <x v="2"/>
    <x v="1"/>
    <x v="5"/>
    <x v="93"/>
    <x v="2"/>
    <x v="1"/>
    <x v="5"/>
  </r>
  <r>
    <x v="437"/>
    <x v="437"/>
    <x v="12"/>
    <x v="1"/>
    <x v="1"/>
    <x v="131"/>
    <x v="28"/>
    <x v="1"/>
    <x v="1"/>
    <x v="3"/>
    <x v="1"/>
    <x v="4"/>
    <x v="0"/>
    <x v="171"/>
    <x v="0"/>
    <x v="82"/>
    <x v="84"/>
    <x v="73"/>
    <x v="1"/>
    <x v="2"/>
    <x v="1"/>
    <x v="5"/>
    <x v="147"/>
    <x v="1"/>
    <x v="1"/>
    <x v="6"/>
  </r>
  <r>
    <x v="438"/>
    <x v="438"/>
    <x v="15"/>
    <x v="1"/>
    <x v="1"/>
    <x v="19"/>
    <x v="47"/>
    <x v="1"/>
    <x v="0"/>
    <x v="1"/>
    <x v="6"/>
    <x v="5"/>
    <x v="3"/>
    <x v="357"/>
    <x v="2"/>
    <x v="457"/>
    <x v="459"/>
    <x v="456"/>
    <x v="1"/>
    <x v="2"/>
    <x v="1"/>
    <x v="4"/>
    <x v="176"/>
    <x v="0"/>
    <x v="0"/>
    <x v="2"/>
  </r>
  <r>
    <x v="439"/>
    <x v="439"/>
    <x v="0"/>
    <x v="1"/>
    <x v="0"/>
    <x v="90"/>
    <x v="27"/>
    <x v="0"/>
    <x v="1"/>
    <x v="3"/>
    <x v="5"/>
    <x v="0"/>
    <x v="0"/>
    <x v="119"/>
    <x v="1"/>
    <x v="65"/>
    <x v="67"/>
    <x v="52"/>
    <x v="0"/>
    <x v="2"/>
    <x v="1"/>
    <x v="1"/>
    <x v="69"/>
    <x v="1"/>
    <x v="1"/>
    <x v="0"/>
  </r>
  <r>
    <x v="440"/>
    <x v="440"/>
    <x v="18"/>
    <x v="1"/>
    <x v="7"/>
    <x v="117"/>
    <x v="28"/>
    <x v="1"/>
    <x v="0"/>
    <x v="3"/>
    <x v="5"/>
    <x v="0"/>
    <x v="2"/>
    <x v="100"/>
    <x v="2"/>
    <x v="286"/>
    <x v="288"/>
    <x v="279"/>
    <x v="2"/>
    <x v="1"/>
    <x v="0"/>
    <x v="0"/>
    <x v="80"/>
    <x v="2"/>
    <x v="0"/>
    <x v="5"/>
  </r>
  <r>
    <x v="441"/>
    <x v="441"/>
    <x v="50"/>
    <x v="0"/>
    <x v="0"/>
    <x v="41"/>
    <x v="36"/>
    <x v="0"/>
    <x v="1"/>
    <x v="3"/>
    <x v="5"/>
    <x v="0"/>
    <x v="1"/>
    <x v="116"/>
    <x v="2"/>
    <x v="183"/>
    <x v="178"/>
    <x v="188"/>
    <x v="2"/>
    <x v="2"/>
    <x v="1"/>
    <x v="3"/>
    <x v="255"/>
    <x v="2"/>
    <x v="1"/>
    <x v="2"/>
  </r>
  <r>
    <x v="442"/>
    <x v="442"/>
    <x v="34"/>
    <x v="0"/>
    <x v="7"/>
    <x v="164"/>
    <x v="39"/>
    <x v="0"/>
    <x v="1"/>
    <x v="4"/>
    <x v="7"/>
    <x v="3"/>
    <x v="1"/>
    <x v="205"/>
    <x v="1"/>
    <x v="275"/>
    <x v="281"/>
    <x v="263"/>
    <x v="2"/>
    <x v="2"/>
    <x v="1"/>
    <x v="4"/>
    <x v="15"/>
    <x v="2"/>
    <x v="1"/>
    <x v="4"/>
  </r>
  <r>
    <x v="443"/>
    <x v="443"/>
    <x v="4"/>
    <x v="1"/>
    <x v="7"/>
    <x v="102"/>
    <x v="39"/>
    <x v="0"/>
    <x v="1"/>
    <x v="4"/>
    <x v="7"/>
    <x v="3"/>
    <x v="0"/>
    <x v="187"/>
    <x v="1"/>
    <x v="86"/>
    <x v="83"/>
    <x v="90"/>
    <x v="3"/>
    <x v="2"/>
    <x v="1"/>
    <x v="2"/>
    <x v="446"/>
    <x v="1"/>
    <x v="1"/>
    <x v="5"/>
  </r>
  <r>
    <x v="444"/>
    <x v="444"/>
    <x v="41"/>
    <x v="0"/>
    <x v="0"/>
    <x v="97"/>
    <x v="39"/>
    <x v="0"/>
    <x v="0"/>
    <x v="1"/>
    <x v="3"/>
    <x v="1"/>
    <x v="4"/>
    <x v="426"/>
    <x v="1"/>
    <x v="492"/>
    <x v="493"/>
    <x v="485"/>
    <x v="3"/>
    <x v="2"/>
    <x v="1"/>
    <x v="5"/>
    <x v="18"/>
    <x v="0"/>
    <x v="0"/>
    <x v="4"/>
  </r>
  <r>
    <x v="445"/>
    <x v="445"/>
    <x v="9"/>
    <x v="1"/>
    <x v="1"/>
    <x v="65"/>
    <x v="27"/>
    <x v="0"/>
    <x v="0"/>
    <x v="3"/>
    <x v="1"/>
    <x v="4"/>
    <x v="2"/>
    <x v="125"/>
    <x v="3"/>
    <x v="285"/>
    <x v="285"/>
    <x v="288"/>
    <x v="3"/>
    <x v="0"/>
    <x v="1"/>
    <x v="4"/>
    <x v="237"/>
    <x v="2"/>
    <x v="0"/>
    <x v="3"/>
  </r>
  <r>
    <x v="446"/>
    <x v="446"/>
    <x v="36"/>
    <x v="0"/>
    <x v="7"/>
    <x v="119"/>
    <x v="6"/>
    <x v="1"/>
    <x v="1"/>
    <x v="1"/>
    <x v="3"/>
    <x v="1"/>
    <x v="0"/>
    <x v="265"/>
    <x v="2"/>
    <x v="116"/>
    <x v="116"/>
    <x v="123"/>
    <x v="2"/>
    <x v="1"/>
    <x v="1"/>
    <x v="0"/>
    <x v="265"/>
    <x v="1"/>
    <x v="1"/>
    <x v="2"/>
  </r>
  <r>
    <x v="447"/>
    <x v="447"/>
    <x v="18"/>
    <x v="1"/>
    <x v="4"/>
    <x v="38"/>
    <x v="6"/>
    <x v="1"/>
    <x v="0"/>
    <x v="3"/>
    <x v="1"/>
    <x v="4"/>
    <x v="4"/>
    <x v="158"/>
    <x v="0"/>
    <x v="437"/>
    <x v="437"/>
    <x v="433"/>
    <x v="3"/>
    <x v="2"/>
    <x v="1"/>
    <x v="0"/>
    <x v="181"/>
    <x v="0"/>
    <x v="0"/>
    <x v="5"/>
  </r>
  <r>
    <x v="448"/>
    <x v="448"/>
    <x v="2"/>
    <x v="1"/>
    <x v="2"/>
    <x v="57"/>
    <x v="44"/>
    <x v="0"/>
    <x v="0"/>
    <x v="3"/>
    <x v="5"/>
    <x v="0"/>
    <x v="4"/>
    <x v="128"/>
    <x v="0"/>
    <x v="430"/>
    <x v="431"/>
    <x v="425"/>
    <x v="0"/>
    <x v="1"/>
    <x v="1"/>
    <x v="1"/>
    <x v="167"/>
    <x v="0"/>
    <x v="0"/>
    <x v="3"/>
  </r>
  <r>
    <x v="449"/>
    <x v="449"/>
    <x v="28"/>
    <x v="1"/>
    <x v="7"/>
    <x v="29"/>
    <x v="32"/>
    <x v="0"/>
    <x v="1"/>
    <x v="1"/>
    <x v="6"/>
    <x v="5"/>
    <x v="1"/>
    <x v="470"/>
    <x v="1"/>
    <x v="392"/>
    <x v="394"/>
    <x v="386"/>
    <x v="3"/>
    <x v="2"/>
    <x v="2"/>
    <x v="5"/>
    <x v="215"/>
    <x v="0"/>
    <x v="1"/>
    <x v="0"/>
  </r>
  <r>
    <x v="450"/>
    <x v="450"/>
    <x v="29"/>
    <x v="1"/>
    <x v="7"/>
    <x v="136"/>
    <x v="44"/>
    <x v="0"/>
    <x v="0"/>
    <x v="4"/>
    <x v="7"/>
    <x v="3"/>
    <x v="4"/>
    <x v="189"/>
    <x v="1"/>
    <x v="443"/>
    <x v="444"/>
    <x v="447"/>
    <x v="2"/>
    <x v="1"/>
    <x v="1"/>
    <x v="2"/>
    <x v="315"/>
    <x v="0"/>
    <x v="0"/>
    <x v="2"/>
  </r>
  <r>
    <x v="451"/>
    <x v="451"/>
    <x v="9"/>
    <x v="1"/>
    <x v="1"/>
    <x v="58"/>
    <x v="35"/>
    <x v="0"/>
    <x v="1"/>
    <x v="1"/>
    <x v="3"/>
    <x v="1"/>
    <x v="0"/>
    <x v="269"/>
    <x v="1"/>
    <x v="132"/>
    <x v="139"/>
    <x v="128"/>
    <x v="1"/>
    <x v="1"/>
    <x v="1"/>
    <x v="2"/>
    <x v="168"/>
    <x v="1"/>
    <x v="1"/>
    <x v="3"/>
  </r>
  <r>
    <x v="452"/>
    <x v="452"/>
    <x v="41"/>
    <x v="0"/>
    <x v="1"/>
    <x v="139"/>
    <x v="47"/>
    <x v="1"/>
    <x v="1"/>
    <x v="5"/>
    <x v="8"/>
    <x v="6"/>
    <x v="0"/>
    <x v="25"/>
    <x v="2"/>
    <x v="14"/>
    <x v="15"/>
    <x v="13"/>
    <x v="3"/>
    <x v="2"/>
    <x v="1"/>
    <x v="3"/>
    <x v="478"/>
    <x v="1"/>
    <x v="1"/>
    <x v="4"/>
  </r>
  <r>
    <x v="453"/>
    <x v="453"/>
    <x v="30"/>
    <x v="1"/>
    <x v="3"/>
    <x v="108"/>
    <x v="17"/>
    <x v="1"/>
    <x v="0"/>
    <x v="4"/>
    <x v="7"/>
    <x v="3"/>
    <x v="2"/>
    <x v="181"/>
    <x v="2"/>
    <x v="313"/>
    <x v="316"/>
    <x v="303"/>
    <x v="2"/>
    <x v="1"/>
    <x v="1"/>
    <x v="2"/>
    <x v="136"/>
    <x v="2"/>
    <x v="0"/>
    <x v="3"/>
  </r>
  <r>
    <x v="454"/>
    <x v="454"/>
    <x v="31"/>
    <x v="0"/>
    <x v="1"/>
    <x v="163"/>
    <x v="6"/>
    <x v="1"/>
    <x v="0"/>
    <x v="1"/>
    <x v="6"/>
    <x v="5"/>
    <x v="3"/>
    <x v="484"/>
    <x v="2"/>
    <x v="469"/>
    <x v="469"/>
    <x v="466"/>
    <x v="1"/>
    <x v="1"/>
    <x v="1"/>
    <x v="0"/>
    <x v="189"/>
    <x v="0"/>
    <x v="0"/>
    <x v="1"/>
  </r>
  <r>
    <x v="455"/>
    <x v="455"/>
    <x v="2"/>
    <x v="1"/>
    <x v="7"/>
    <x v="123"/>
    <x v="15"/>
    <x v="1"/>
    <x v="1"/>
    <x v="6"/>
    <x v="4"/>
    <x v="1"/>
    <x v="1"/>
    <x v="255"/>
    <x v="2"/>
    <x v="302"/>
    <x v="302"/>
    <x v="297"/>
    <x v="3"/>
    <x v="0"/>
    <x v="1"/>
    <x v="4"/>
    <x v="200"/>
    <x v="2"/>
    <x v="1"/>
    <x v="3"/>
  </r>
  <r>
    <x v="456"/>
    <x v="456"/>
    <x v="27"/>
    <x v="1"/>
    <x v="1"/>
    <x v="162"/>
    <x v="16"/>
    <x v="0"/>
    <x v="1"/>
    <x v="3"/>
    <x v="5"/>
    <x v="0"/>
    <x v="1"/>
    <x v="87"/>
    <x v="2"/>
    <x v="147"/>
    <x v="136"/>
    <x v="198"/>
    <x v="1"/>
    <x v="2"/>
    <x v="1"/>
    <x v="5"/>
    <x v="439"/>
    <x v="1"/>
    <x v="1"/>
    <x v="4"/>
  </r>
  <r>
    <x v="457"/>
    <x v="457"/>
    <x v="55"/>
    <x v="0"/>
    <x v="2"/>
    <x v="144"/>
    <x v="30"/>
    <x v="0"/>
    <x v="0"/>
    <x v="1"/>
    <x v="6"/>
    <x v="5"/>
    <x v="4"/>
    <x v="466"/>
    <x v="1"/>
    <x v="498"/>
    <x v="492"/>
    <x v="499"/>
    <x v="3"/>
    <x v="0"/>
    <x v="1"/>
    <x v="3"/>
    <x v="431"/>
    <x v="0"/>
    <x v="0"/>
    <x v="4"/>
  </r>
  <r>
    <x v="458"/>
    <x v="458"/>
    <x v="53"/>
    <x v="0"/>
    <x v="1"/>
    <x v="58"/>
    <x v="5"/>
    <x v="0"/>
    <x v="1"/>
    <x v="3"/>
    <x v="1"/>
    <x v="4"/>
    <x v="1"/>
    <x v="143"/>
    <x v="1"/>
    <x v="242"/>
    <x v="239"/>
    <x v="257"/>
    <x v="2"/>
    <x v="1"/>
    <x v="1"/>
    <x v="2"/>
    <x v="383"/>
    <x v="2"/>
    <x v="1"/>
    <x v="5"/>
  </r>
  <r>
    <x v="459"/>
    <x v="459"/>
    <x v="9"/>
    <x v="1"/>
    <x v="3"/>
    <x v="153"/>
    <x v="5"/>
    <x v="0"/>
    <x v="0"/>
    <x v="6"/>
    <x v="4"/>
    <x v="1"/>
    <x v="2"/>
    <x v="240"/>
    <x v="1"/>
    <x v="397"/>
    <x v="400"/>
    <x v="374"/>
    <x v="3"/>
    <x v="0"/>
    <x v="1"/>
    <x v="3"/>
    <x v="74"/>
    <x v="0"/>
    <x v="0"/>
    <x v="3"/>
  </r>
  <r>
    <x v="460"/>
    <x v="460"/>
    <x v="42"/>
    <x v="0"/>
    <x v="2"/>
    <x v="161"/>
    <x v="1"/>
    <x v="0"/>
    <x v="0"/>
    <x v="1"/>
    <x v="6"/>
    <x v="5"/>
    <x v="4"/>
    <x v="401"/>
    <x v="0"/>
    <x v="496"/>
    <x v="498"/>
    <x v="490"/>
    <x v="3"/>
    <x v="2"/>
    <x v="1"/>
    <x v="5"/>
    <x v="38"/>
    <x v="0"/>
    <x v="0"/>
    <x v="0"/>
  </r>
  <r>
    <x v="461"/>
    <x v="461"/>
    <x v="1"/>
    <x v="1"/>
    <x v="1"/>
    <x v="153"/>
    <x v="48"/>
    <x v="1"/>
    <x v="1"/>
    <x v="1"/>
    <x v="3"/>
    <x v="1"/>
    <x v="0"/>
    <x v="292"/>
    <x v="2"/>
    <x v="127"/>
    <x v="123"/>
    <x v="162"/>
    <x v="2"/>
    <x v="2"/>
    <x v="1"/>
    <x v="3"/>
    <x v="384"/>
    <x v="1"/>
    <x v="1"/>
    <x v="2"/>
  </r>
  <r>
    <x v="462"/>
    <x v="462"/>
    <x v="37"/>
    <x v="0"/>
    <x v="1"/>
    <x v="48"/>
    <x v="9"/>
    <x v="1"/>
    <x v="1"/>
    <x v="1"/>
    <x v="6"/>
    <x v="5"/>
    <x v="1"/>
    <x v="315"/>
    <x v="1"/>
    <x v="342"/>
    <x v="343"/>
    <x v="347"/>
    <x v="3"/>
    <x v="2"/>
    <x v="1"/>
    <x v="3"/>
    <x v="257"/>
    <x v="2"/>
    <x v="1"/>
    <x v="3"/>
  </r>
  <r>
    <x v="463"/>
    <x v="463"/>
    <x v="49"/>
    <x v="0"/>
    <x v="4"/>
    <x v="7"/>
    <x v="32"/>
    <x v="0"/>
    <x v="1"/>
    <x v="3"/>
    <x v="5"/>
    <x v="0"/>
    <x v="0"/>
    <x v="64"/>
    <x v="1"/>
    <x v="43"/>
    <x v="45"/>
    <x v="31"/>
    <x v="3"/>
    <x v="1"/>
    <x v="1"/>
    <x v="4"/>
    <x v="83"/>
    <x v="1"/>
    <x v="1"/>
    <x v="0"/>
  </r>
  <r>
    <x v="464"/>
    <x v="464"/>
    <x v="1"/>
    <x v="1"/>
    <x v="1"/>
    <x v="83"/>
    <x v="47"/>
    <x v="1"/>
    <x v="1"/>
    <x v="3"/>
    <x v="5"/>
    <x v="0"/>
    <x v="0"/>
    <x v="153"/>
    <x v="0"/>
    <x v="76"/>
    <x v="77"/>
    <x v="72"/>
    <x v="2"/>
    <x v="2"/>
    <x v="1"/>
    <x v="5"/>
    <x v="219"/>
    <x v="1"/>
    <x v="1"/>
    <x v="2"/>
  </r>
  <r>
    <x v="465"/>
    <x v="465"/>
    <x v="9"/>
    <x v="1"/>
    <x v="4"/>
    <x v="96"/>
    <x v="21"/>
    <x v="1"/>
    <x v="0"/>
    <x v="1"/>
    <x v="6"/>
    <x v="5"/>
    <x v="4"/>
    <x v="335"/>
    <x v="1"/>
    <x v="486"/>
    <x v="485"/>
    <x v="491"/>
    <x v="1"/>
    <x v="2"/>
    <x v="1"/>
    <x v="3"/>
    <x v="324"/>
    <x v="0"/>
    <x v="0"/>
    <x v="3"/>
  </r>
  <r>
    <x v="466"/>
    <x v="466"/>
    <x v="48"/>
    <x v="0"/>
    <x v="2"/>
    <x v="127"/>
    <x v="12"/>
    <x v="1"/>
    <x v="0"/>
    <x v="3"/>
    <x v="5"/>
    <x v="0"/>
    <x v="2"/>
    <x v="118"/>
    <x v="1"/>
    <x v="301"/>
    <x v="296"/>
    <x v="317"/>
    <x v="3"/>
    <x v="1"/>
    <x v="1"/>
    <x v="2"/>
    <x v="455"/>
    <x v="2"/>
    <x v="0"/>
    <x v="4"/>
  </r>
  <r>
    <x v="467"/>
    <x v="467"/>
    <x v="8"/>
    <x v="1"/>
    <x v="1"/>
    <x v="76"/>
    <x v="39"/>
    <x v="0"/>
    <x v="0"/>
    <x v="3"/>
    <x v="1"/>
    <x v="4"/>
    <x v="3"/>
    <x v="78"/>
    <x v="3"/>
    <x v="315"/>
    <x v="314"/>
    <x v="318"/>
    <x v="1"/>
    <x v="1"/>
    <x v="1"/>
    <x v="0"/>
    <x v="232"/>
    <x v="2"/>
    <x v="0"/>
    <x v="2"/>
  </r>
  <r>
    <x v="468"/>
    <x v="468"/>
    <x v="53"/>
    <x v="0"/>
    <x v="1"/>
    <x v="139"/>
    <x v="44"/>
    <x v="0"/>
    <x v="1"/>
    <x v="1"/>
    <x v="6"/>
    <x v="5"/>
    <x v="1"/>
    <x v="291"/>
    <x v="3"/>
    <x v="311"/>
    <x v="315"/>
    <x v="298"/>
    <x v="2"/>
    <x v="2"/>
    <x v="0"/>
    <x v="4"/>
    <x v="99"/>
    <x v="2"/>
    <x v="1"/>
    <x v="5"/>
  </r>
  <r>
    <x v="469"/>
    <x v="469"/>
    <x v="41"/>
    <x v="0"/>
    <x v="2"/>
    <x v="34"/>
    <x v="6"/>
    <x v="1"/>
    <x v="1"/>
    <x v="1"/>
    <x v="6"/>
    <x v="5"/>
    <x v="0"/>
    <x v="351"/>
    <x v="1"/>
    <x v="184"/>
    <x v="187"/>
    <x v="164"/>
    <x v="3"/>
    <x v="1"/>
    <x v="1"/>
    <x v="1"/>
    <x v="160"/>
    <x v="2"/>
    <x v="1"/>
    <x v="4"/>
  </r>
  <r>
    <x v="470"/>
    <x v="470"/>
    <x v="20"/>
    <x v="1"/>
    <x v="7"/>
    <x v="32"/>
    <x v="17"/>
    <x v="1"/>
    <x v="1"/>
    <x v="1"/>
    <x v="6"/>
    <x v="5"/>
    <x v="0"/>
    <x v="440"/>
    <x v="2"/>
    <x v="193"/>
    <x v="189"/>
    <x v="202"/>
    <x v="2"/>
    <x v="1"/>
    <x v="2"/>
    <x v="4"/>
    <x v="275"/>
    <x v="2"/>
    <x v="1"/>
    <x v="4"/>
  </r>
  <r>
    <x v="471"/>
    <x v="471"/>
    <x v="31"/>
    <x v="0"/>
    <x v="0"/>
    <x v="99"/>
    <x v="49"/>
    <x v="1"/>
    <x v="1"/>
    <x v="5"/>
    <x v="8"/>
    <x v="6"/>
    <x v="0"/>
    <x v="21"/>
    <x v="0"/>
    <x v="15"/>
    <x v="14"/>
    <x v="15"/>
    <x v="2"/>
    <x v="2"/>
    <x v="0"/>
    <x v="2"/>
    <x v="487"/>
    <x v="1"/>
    <x v="1"/>
    <x v="1"/>
  </r>
  <r>
    <x v="472"/>
    <x v="472"/>
    <x v="60"/>
    <x v="0"/>
    <x v="5"/>
    <x v="138"/>
    <x v="3"/>
    <x v="1"/>
    <x v="0"/>
    <x v="3"/>
    <x v="5"/>
    <x v="0"/>
    <x v="4"/>
    <x v="85"/>
    <x v="2"/>
    <x v="406"/>
    <x v="405"/>
    <x v="400"/>
    <x v="3"/>
    <x v="1"/>
    <x v="1"/>
    <x v="5"/>
    <x v="206"/>
    <x v="0"/>
    <x v="0"/>
    <x v="5"/>
  </r>
  <r>
    <x v="473"/>
    <x v="473"/>
    <x v="37"/>
    <x v="0"/>
    <x v="6"/>
    <x v="21"/>
    <x v="34"/>
    <x v="0"/>
    <x v="0"/>
    <x v="3"/>
    <x v="5"/>
    <x v="0"/>
    <x v="4"/>
    <x v="99"/>
    <x v="0"/>
    <x v="423"/>
    <x v="425"/>
    <x v="416"/>
    <x v="1"/>
    <x v="2"/>
    <x v="1"/>
    <x v="0"/>
    <x v="198"/>
    <x v="0"/>
    <x v="0"/>
    <x v="3"/>
  </r>
  <r>
    <x v="474"/>
    <x v="474"/>
    <x v="56"/>
    <x v="0"/>
    <x v="4"/>
    <x v="163"/>
    <x v="38"/>
    <x v="1"/>
    <x v="1"/>
    <x v="3"/>
    <x v="5"/>
    <x v="0"/>
    <x v="1"/>
    <x v="91"/>
    <x v="1"/>
    <x v="185"/>
    <x v="179"/>
    <x v="197"/>
    <x v="0"/>
    <x v="1"/>
    <x v="2"/>
    <x v="1"/>
    <x v="291"/>
    <x v="2"/>
    <x v="1"/>
    <x v="0"/>
  </r>
  <r>
    <x v="475"/>
    <x v="475"/>
    <x v="6"/>
    <x v="1"/>
    <x v="6"/>
    <x v="13"/>
    <x v="42"/>
    <x v="0"/>
    <x v="1"/>
    <x v="5"/>
    <x v="8"/>
    <x v="6"/>
    <x v="0"/>
    <x v="14"/>
    <x v="2"/>
    <x v="8"/>
    <x v="11"/>
    <x v="7"/>
    <x v="3"/>
    <x v="0"/>
    <x v="1"/>
    <x v="1"/>
    <x v="479"/>
    <x v="1"/>
    <x v="1"/>
    <x v="4"/>
  </r>
  <r>
    <x v="476"/>
    <x v="476"/>
    <x v="1"/>
    <x v="1"/>
    <x v="4"/>
    <x v="4"/>
    <x v="45"/>
    <x v="0"/>
    <x v="0"/>
    <x v="1"/>
    <x v="3"/>
    <x v="1"/>
    <x v="2"/>
    <x v="417"/>
    <x v="0"/>
    <x v="450"/>
    <x v="450"/>
    <x v="445"/>
    <x v="0"/>
    <x v="2"/>
    <x v="1"/>
    <x v="3"/>
    <x v="141"/>
    <x v="0"/>
    <x v="0"/>
    <x v="2"/>
  </r>
  <r>
    <x v="477"/>
    <x v="477"/>
    <x v="43"/>
    <x v="0"/>
    <x v="7"/>
    <x v="109"/>
    <x v="6"/>
    <x v="1"/>
    <x v="0"/>
    <x v="4"/>
    <x v="7"/>
    <x v="3"/>
    <x v="2"/>
    <x v="196"/>
    <x v="1"/>
    <x v="344"/>
    <x v="352"/>
    <x v="335"/>
    <x v="3"/>
    <x v="1"/>
    <x v="1"/>
    <x v="0"/>
    <x v="166"/>
    <x v="2"/>
    <x v="0"/>
    <x v="2"/>
  </r>
  <r>
    <x v="478"/>
    <x v="478"/>
    <x v="8"/>
    <x v="1"/>
    <x v="3"/>
    <x v="110"/>
    <x v="29"/>
    <x v="0"/>
    <x v="0"/>
    <x v="3"/>
    <x v="1"/>
    <x v="4"/>
    <x v="2"/>
    <x v="155"/>
    <x v="1"/>
    <x v="307"/>
    <x v="312"/>
    <x v="293"/>
    <x v="3"/>
    <x v="2"/>
    <x v="1"/>
    <x v="4"/>
    <x v="24"/>
    <x v="2"/>
    <x v="0"/>
    <x v="2"/>
  </r>
  <r>
    <x v="479"/>
    <x v="479"/>
    <x v="38"/>
    <x v="0"/>
    <x v="4"/>
    <x v="129"/>
    <x v="17"/>
    <x v="1"/>
    <x v="1"/>
    <x v="3"/>
    <x v="5"/>
    <x v="0"/>
    <x v="1"/>
    <x v="53"/>
    <x v="0"/>
    <x v="174"/>
    <x v="185"/>
    <x v="135"/>
    <x v="3"/>
    <x v="0"/>
    <x v="2"/>
    <x v="4"/>
    <x v="49"/>
    <x v="2"/>
    <x v="1"/>
    <x v="1"/>
  </r>
  <r>
    <x v="480"/>
    <x v="480"/>
    <x v="59"/>
    <x v="0"/>
    <x v="6"/>
    <x v="36"/>
    <x v="40"/>
    <x v="1"/>
    <x v="0"/>
    <x v="4"/>
    <x v="7"/>
    <x v="3"/>
    <x v="3"/>
    <x v="215"/>
    <x v="2"/>
    <x v="417"/>
    <x v="420"/>
    <x v="417"/>
    <x v="1"/>
    <x v="1"/>
    <x v="1"/>
    <x v="3"/>
    <x v="263"/>
    <x v="0"/>
    <x v="0"/>
    <x v="1"/>
  </r>
  <r>
    <x v="481"/>
    <x v="481"/>
    <x v="56"/>
    <x v="0"/>
    <x v="2"/>
    <x v="55"/>
    <x v="37"/>
    <x v="1"/>
    <x v="1"/>
    <x v="1"/>
    <x v="3"/>
    <x v="1"/>
    <x v="1"/>
    <x v="259"/>
    <x v="1"/>
    <x v="321"/>
    <x v="323"/>
    <x v="309"/>
    <x v="2"/>
    <x v="2"/>
    <x v="0"/>
    <x v="2"/>
    <x v="77"/>
    <x v="2"/>
    <x v="1"/>
    <x v="0"/>
  </r>
  <r>
    <x v="482"/>
    <x v="482"/>
    <x v="57"/>
    <x v="0"/>
    <x v="3"/>
    <x v="17"/>
    <x v="47"/>
    <x v="1"/>
    <x v="1"/>
    <x v="5"/>
    <x v="8"/>
    <x v="6"/>
    <x v="1"/>
    <x v="22"/>
    <x v="1"/>
    <x v="39"/>
    <x v="24"/>
    <x v="93"/>
    <x v="2"/>
    <x v="2"/>
    <x v="1"/>
    <x v="2"/>
    <x v="488"/>
    <x v="1"/>
    <x v="1"/>
    <x v="2"/>
  </r>
  <r>
    <x v="483"/>
    <x v="483"/>
    <x v="51"/>
    <x v="0"/>
    <x v="1"/>
    <x v="56"/>
    <x v="44"/>
    <x v="0"/>
    <x v="0"/>
    <x v="3"/>
    <x v="1"/>
    <x v="4"/>
    <x v="2"/>
    <x v="173"/>
    <x v="3"/>
    <x v="297"/>
    <x v="298"/>
    <x v="302"/>
    <x v="3"/>
    <x v="2"/>
    <x v="1"/>
    <x v="5"/>
    <x v="381"/>
    <x v="2"/>
    <x v="0"/>
    <x v="3"/>
  </r>
  <r>
    <x v="484"/>
    <x v="484"/>
    <x v="52"/>
    <x v="0"/>
    <x v="6"/>
    <x v="160"/>
    <x v="19"/>
    <x v="0"/>
    <x v="0"/>
    <x v="3"/>
    <x v="5"/>
    <x v="0"/>
    <x v="4"/>
    <x v="112"/>
    <x v="2"/>
    <x v="411"/>
    <x v="410"/>
    <x v="414"/>
    <x v="1"/>
    <x v="2"/>
    <x v="1"/>
    <x v="4"/>
    <x v="298"/>
    <x v="0"/>
    <x v="0"/>
    <x v="1"/>
  </r>
  <r>
    <x v="485"/>
    <x v="485"/>
    <x v="0"/>
    <x v="1"/>
    <x v="3"/>
    <x v="52"/>
    <x v="25"/>
    <x v="0"/>
    <x v="1"/>
    <x v="5"/>
    <x v="8"/>
    <x v="6"/>
    <x v="0"/>
    <x v="24"/>
    <x v="0"/>
    <x v="16"/>
    <x v="16"/>
    <x v="17"/>
    <x v="1"/>
    <x v="2"/>
    <x v="1"/>
    <x v="1"/>
    <x v="486"/>
    <x v="1"/>
    <x v="1"/>
    <x v="0"/>
  </r>
  <r>
    <x v="486"/>
    <x v="486"/>
    <x v="52"/>
    <x v="0"/>
    <x v="0"/>
    <x v="97"/>
    <x v="22"/>
    <x v="1"/>
    <x v="1"/>
    <x v="4"/>
    <x v="7"/>
    <x v="3"/>
    <x v="0"/>
    <x v="239"/>
    <x v="0"/>
    <x v="102"/>
    <x v="100"/>
    <x v="111"/>
    <x v="2"/>
    <x v="2"/>
    <x v="1"/>
    <x v="5"/>
    <x v="411"/>
    <x v="1"/>
    <x v="1"/>
    <x v="1"/>
  </r>
  <r>
    <x v="487"/>
    <x v="487"/>
    <x v="5"/>
    <x v="1"/>
    <x v="1"/>
    <x v="9"/>
    <x v="14"/>
    <x v="1"/>
    <x v="0"/>
    <x v="4"/>
    <x v="7"/>
    <x v="3"/>
    <x v="3"/>
    <x v="191"/>
    <x v="0"/>
    <x v="424"/>
    <x v="422"/>
    <x v="428"/>
    <x v="1"/>
    <x v="2"/>
    <x v="1"/>
    <x v="2"/>
    <x v="363"/>
    <x v="0"/>
    <x v="0"/>
    <x v="6"/>
  </r>
  <r>
    <x v="488"/>
    <x v="488"/>
    <x v="28"/>
    <x v="1"/>
    <x v="2"/>
    <x v="83"/>
    <x v="14"/>
    <x v="1"/>
    <x v="0"/>
    <x v="1"/>
    <x v="3"/>
    <x v="1"/>
    <x v="4"/>
    <x v="344"/>
    <x v="1"/>
    <x v="487"/>
    <x v="487"/>
    <x v="483"/>
    <x v="3"/>
    <x v="1"/>
    <x v="1"/>
    <x v="4"/>
    <x v="105"/>
    <x v="0"/>
    <x v="0"/>
    <x v="0"/>
  </r>
  <r>
    <x v="489"/>
    <x v="489"/>
    <x v="16"/>
    <x v="1"/>
    <x v="7"/>
    <x v="60"/>
    <x v="43"/>
    <x v="0"/>
    <x v="1"/>
    <x v="3"/>
    <x v="5"/>
    <x v="0"/>
    <x v="1"/>
    <x v="107"/>
    <x v="2"/>
    <x v="169"/>
    <x v="172"/>
    <x v="152"/>
    <x v="2"/>
    <x v="1"/>
    <x v="1"/>
    <x v="2"/>
    <x v="180"/>
    <x v="1"/>
    <x v="1"/>
    <x v="3"/>
  </r>
  <r>
    <x v="490"/>
    <x v="490"/>
    <x v="20"/>
    <x v="1"/>
    <x v="1"/>
    <x v="127"/>
    <x v="14"/>
    <x v="1"/>
    <x v="0"/>
    <x v="4"/>
    <x v="7"/>
    <x v="3"/>
    <x v="3"/>
    <x v="209"/>
    <x v="0"/>
    <x v="431"/>
    <x v="433"/>
    <x v="431"/>
    <x v="3"/>
    <x v="1"/>
    <x v="1"/>
    <x v="5"/>
    <x v="211"/>
    <x v="0"/>
    <x v="0"/>
    <x v="4"/>
  </r>
  <r>
    <x v="491"/>
    <x v="491"/>
    <x v="21"/>
    <x v="1"/>
    <x v="0"/>
    <x v="159"/>
    <x v="43"/>
    <x v="0"/>
    <x v="1"/>
    <x v="1"/>
    <x v="6"/>
    <x v="5"/>
    <x v="0"/>
    <x v="323"/>
    <x v="2"/>
    <x v="140"/>
    <x v="151"/>
    <x v="117"/>
    <x v="1"/>
    <x v="1"/>
    <x v="1"/>
    <x v="4"/>
    <x v="46"/>
    <x v="1"/>
    <x v="1"/>
    <x v="0"/>
  </r>
  <r>
    <x v="492"/>
    <x v="492"/>
    <x v="53"/>
    <x v="0"/>
    <x v="6"/>
    <x v="58"/>
    <x v="19"/>
    <x v="0"/>
    <x v="1"/>
    <x v="3"/>
    <x v="5"/>
    <x v="0"/>
    <x v="0"/>
    <x v="124"/>
    <x v="1"/>
    <x v="68"/>
    <x v="68"/>
    <x v="53"/>
    <x v="2"/>
    <x v="0"/>
    <x v="1"/>
    <x v="2"/>
    <x v="72"/>
    <x v="1"/>
    <x v="1"/>
    <x v="5"/>
  </r>
  <r>
    <x v="493"/>
    <x v="493"/>
    <x v="24"/>
    <x v="1"/>
    <x v="7"/>
    <x v="123"/>
    <x v="21"/>
    <x v="1"/>
    <x v="0"/>
    <x v="4"/>
    <x v="7"/>
    <x v="3"/>
    <x v="3"/>
    <x v="164"/>
    <x v="1"/>
    <x v="401"/>
    <x v="403"/>
    <x v="391"/>
    <x v="3"/>
    <x v="1"/>
    <x v="1"/>
    <x v="4"/>
    <x v="183"/>
    <x v="0"/>
    <x v="0"/>
    <x v="1"/>
  </r>
  <r>
    <x v="494"/>
    <x v="494"/>
    <x v="23"/>
    <x v="1"/>
    <x v="1"/>
    <x v="7"/>
    <x v="29"/>
    <x v="0"/>
    <x v="1"/>
    <x v="1"/>
    <x v="3"/>
    <x v="1"/>
    <x v="0"/>
    <x v="372"/>
    <x v="0"/>
    <x v="232"/>
    <x v="236"/>
    <x v="191"/>
    <x v="3"/>
    <x v="2"/>
    <x v="1"/>
    <x v="1"/>
    <x v="115"/>
    <x v="2"/>
    <x v="1"/>
    <x v="3"/>
  </r>
  <r>
    <x v="495"/>
    <x v="495"/>
    <x v="12"/>
    <x v="1"/>
    <x v="4"/>
    <x v="114"/>
    <x v="2"/>
    <x v="1"/>
    <x v="1"/>
    <x v="4"/>
    <x v="7"/>
    <x v="3"/>
    <x v="1"/>
    <x v="159"/>
    <x v="3"/>
    <x v="194"/>
    <x v="191"/>
    <x v="203"/>
    <x v="2"/>
    <x v="2"/>
    <x v="1"/>
    <x v="4"/>
    <x v="274"/>
    <x v="2"/>
    <x v="1"/>
    <x v="6"/>
  </r>
  <r>
    <x v="496"/>
    <x v="496"/>
    <x v="49"/>
    <x v="0"/>
    <x v="1"/>
    <x v="138"/>
    <x v="36"/>
    <x v="0"/>
    <x v="0"/>
    <x v="1"/>
    <x v="6"/>
    <x v="5"/>
    <x v="3"/>
    <x v="450"/>
    <x v="0"/>
    <x v="479"/>
    <x v="481"/>
    <x v="465"/>
    <x v="2"/>
    <x v="2"/>
    <x v="1"/>
    <x v="0"/>
    <x v="16"/>
    <x v="0"/>
    <x v="0"/>
    <x v="0"/>
  </r>
  <r>
    <x v="497"/>
    <x v="497"/>
    <x v="6"/>
    <x v="1"/>
    <x v="7"/>
    <x v="88"/>
    <x v="15"/>
    <x v="1"/>
    <x v="1"/>
    <x v="1"/>
    <x v="6"/>
    <x v="5"/>
    <x v="0"/>
    <x v="308"/>
    <x v="2"/>
    <x v="133"/>
    <x v="130"/>
    <x v="156"/>
    <x v="2"/>
    <x v="1"/>
    <x v="1"/>
    <x v="2"/>
    <x v="335"/>
    <x v="1"/>
    <x v="1"/>
    <x v="4"/>
  </r>
  <r>
    <x v="498"/>
    <x v="498"/>
    <x v="52"/>
    <x v="0"/>
    <x v="1"/>
    <x v="38"/>
    <x v="0"/>
    <x v="1"/>
    <x v="1"/>
    <x v="1"/>
    <x v="6"/>
    <x v="5"/>
    <x v="1"/>
    <x v="449"/>
    <x v="3"/>
    <x v="335"/>
    <x v="351"/>
    <x v="324"/>
    <x v="3"/>
    <x v="2"/>
    <x v="1"/>
    <x v="3"/>
    <x v="48"/>
    <x v="2"/>
    <x v="1"/>
    <x v="1"/>
  </r>
  <r>
    <x v="499"/>
    <x v="499"/>
    <x v="8"/>
    <x v="1"/>
    <x v="1"/>
    <x v="80"/>
    <x v="42"/>
    <x v="0"/>
    <x v="0"/>
    <x v="4"/>
    <x v="7"/>
    <x v="3"/>
    <x v="3"/>
    <x v="198"/>
    <x v="1"/>
    <x v="420"/>
    <x v="421"/>
    <x v="419"/>
    <x v="3"/>
    <x v="1"/>
    <x v="1"/>
    <x v="3"/>
    <x v="259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2" applyNumberFormats="0" applyBorderFormats="0" applyFontFormats="0" applyPatternFormats="0" applyAlignmentFormats="0" applyWidthHeightFormats="0" dataCaption="Values" itemPrintTitles="1" indent="0" outline="1" outlineData="1">
  <location ref="A3:B6" firstHeaderRow="1" firstDataRow="1" firstDataCol="1"/>
  <pivotFields count="26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 v="2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2" applyNumberFormats="0" applyBorderFormats="0" applyFontFormats="0" applyPatternFormats="0" applyAlignmentFormats="0" applyWidthHeightFormats="0" dataCaption="Values" itemPrintTitles="1" indent="0" outline="1" outlineData="1">
  <location ref="A3:B12" firstHeaderRow="1" firstDataRow="1" firstDataCol="1"/>
  <pivotFields count="26"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2" applyNumberFormats="0" applyBorderFormats="0" applyFontFormats="0" applyPatternFormats="0" applyAlignmentFormats="0" applyWidthHeightFormats="0" dataCaption="Values" itemPrintTitles="1" indent="0" outline="1" outlineData="1">
  <location ref="A3:B1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2" applyNumberFormats="0" applyBorderFormats="0" applyFontFormats="0" applyPatternFormats="0" applyAlignmentFormats="0" applyWidthHeightFormats="0" dataCaption="Values" itemPrintTitles="1" indent="0" outline="1" outlineData="1">
  <location ref="A3:B13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6" cacheId="2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 v="4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7" cacheId="2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 v="3"/>
    </i>
  </rowItems>
  <colItems count="1">
    <i t="grand"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8" cacheId="2" applyNumberFormats="0" applyBorderFormats="0" applyFontFormats="0" applyPatternFormats="0" applyAlignmentFormats="0" applyWidthHeightFormats="0" dataCaption="Values" itemPrintTitles="1" indent="0" outline="1" outlineData="1">
  <location ref="A3:B1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 v="6"/>
    </i>
  </rowItems>
  <colItems count="1">
    <i t="grand"/>
  </colItems>
  <dataFields count="1">
    <dataField name="Sum of Sales" fld="1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501" totalsRowShown="0">
  <autoFilter ref="A1:Z501" xr:uid="{00000000-0009-0000-0100-000001000000}"/>
  <tableColumns count="26">
    <tableColumn id="1" xr3:uid="{00000000-0010-0000-0000-000001000000}" name="Order ID"/>
    <tableColumn id="2" xr3:uid="{00000000-0010-0000-0000-000002000000}" name="Invoice ID"/>
    <tableColumn id="3" xr3:uid="{00000000-0010-0000-0000-000003000000}" name="Order Date"/>
    <tableColumn id="4" xr3:uid="{00000000-0010-0000-0000-000004000000}" name="Month"/>
    <tableColumn id="5" xr3:uid="{00000000-0010-0000-0000-000005000000}" name="City"/>
    <tableColumn id="6" xr3:uid="{00000000-0010-0000-0000-000006000000}" name="Customer ID"/>
    <tableColumn id="7" xr3:uid="{00000000-0010-0000-0000-000007000000}" name="Customer Name"/>
    <tableColumn id="8" xr3:uid="{00000000-0010-0000-0000-000008000000}" name="Gender"/>
    <tableColumn id="9" xr3:uid="{00000000-0010-0000-0000-000009000000}" name="Customer Type"/>
    <tableColumn id="10" xr3:uid="{00000000-0010-0000-0000-00000A000000}" name="Product Category"/>
    <tableColumn id="11" xr3:uid="{00000000-0010-0000-0000-00000B000000}" name="Product Name"/>
    <tableColumn id="12" xr3:uid="{00000000-0010-0000-0000-00000C000000}" name="Brand"/>
    <tableColumn id="13" xr3:uid="{00000000-0010-0000-0000-00000D000000}" name="Quantity"/>
    <tableColumn id="14" xr3:uid="{00000000-0010-0000-0000-00000E000000}" name="Unit Price"/>
    <tableColumn id="15" xr3:uid="{00000000-0010-0000-0000-00000F000000}" name="Discount %"/>
    <tableColumn id="16" xr3:uid="{00000000-0010-0000-0000-000010000000}" name="Sales"/>
    <tableColumn id="17" xr3:uid="{00000000-0010-0000-0000-000011000000}" name="Cost"/>
    <tableColumn id="18" xr3:uid="{00000000-0010-0000-0000-000012000000}" name="Profit"/>
    <tableColumn id="19" xr3:uid="{00000000-0010-0000-0000-000013000000}" name="Payment Mode"/>
    <tableColumn id="20" xr3:uid="{00000000-0010-0000-0000-000014000000}" name="Customer Rating"/>
    <tableColumn id="21" xr3:uid="{00000000-0010-0000-0000-000015000000}" name="Delivery Status"/>
    <tableColumn id="22" xr3:uid="{00000000-0010-0000-0000-000016000000}" name="Sales Executive"/>
    <tableColumn id="23" xr3:uid="{00000000-0010-0000-0000-000017000000}" name="Profit Margin%"/>
    <tableColumn id="24" xr3:uid="{00000000-0010-0000-0000-000018000000}" name="Customer Segment"/>
    <tableColumn id="25" xr3:uid="{00000000-0010-0000-0000-000019000000}" name="order Size"/>
    <tableColumn id="26" xr3:uid="{00000000-0010-0000-0000-00001A000000}" name="Da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9" totalsRowShown="0">
  <autoFilter ref="A1:B9" xr:uid="{00000000-0009-0000-0100-000002000000}"/>
  <tableColumns count="2">
    <tableColumn id="1" xr3:uid="{00000000-0010-0000-0100-000001000000}" name="Data Quality Check"/>
    <tableColumn id="2" xr3:uid="{00000000-0010-0000-0100-000002000000}" name="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showGridLines="0" topLeftCell="A8" zoomScale="82" zoomScaleNormal="82" workbookViewId="0">
      <pane ySplit="1" topLeftCell="A2" activePane="bottomLeft" state="frozen"/>
      <selection activeCell="A8" sqref="A8"/>
      <selection pane="bottomLeft" activeCell="K44" sqref="K44"/>
    </sheetView>
  </sheetViews>
  <sheetFormatPr defaultColWidth="8.6640625" defaultRowHeight="14.25" customHeight="1" x14ac:dyDescent="0.3"/>
  <cols>
    <col min="1" max="1" width="11" customWidth="1"/>
    <col min="2" max="2" width="12" customWidth="1"/>
    <col min="3" max="3" width="14" customWidth="1"/>
    <col min="4" max="4" width="10" customWidth="1"/>
    <col min="5" max="5" width="16" customWidth="1"/>
    <col min="6" max="6" width="13" customWidth="1"/>
    <col min="7" max="7" width="18" customWidth="1"/>
    <col min="8" max="8" width="10" customWidth="1"/>
    <col min="9" max="9" width="13" customWidth="1"/>
    <col min="10" max="10" width="18" customWidth="1"/>
    <col min="11" max="11" width="22" customWidth="1"/>
    <col min="12" max="12" width="12" customWidth="1"/>
    <col min="13" max="13" width="10" customWidth="1"/>
    <col min="14" max="14" width="12" customWidth="1"/>
    <col min="15" max="15" width="11" customWidth="1"/>
    <col min="16" max="18" width="14" customWidth="1"/>
    <col min="19" max="19" width="15" customWidth="1"/>
    <col min="20" max="20" width="13" customWidth="1"/>
    <col min="21" max="21" width="15" customWidth="1"/>
    <col min="22" max="22" width="16" customWidth="1"/>
    <col min="23" max="23" width="14" customWidth="1"/>
    <col min="24" max="24" width="16" customWidth="1"/>
    <col min="25" max="25" width="15" customWidth="1"/>
    <col min="26" max="26" width="12" customWidth="1"/>
  </cols>
  <sheetData>
    <row r="1" spans="1:26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4" x14ac:dyDescent="0.3">
      <c r="A2" t="s">
        <v>26</v>
      </c>
      <c r="B2" t="s">
        <v>27</v>
      </c>
      <c r="C2" s="2">
        <v>46162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2</v>
      </c>
      <c r="N2">
        <v>11747</v>
      </c>
      <c r="O2" s="2">
        <v>15</v>
      </c>
      <c r="P2" s="2">
        <v>19969.900000000001</v>
      </c>
      <c r="Q2" s="2">
        <v>16132.93</v>
      </c>
      <c r="R2" s="2">
        <v>3836.97</v>
      </c>
      <c r="S2" t="s">
        <v>37</v>
      </c>
      <c r="T2">
        <v>3</v>
      </c>
      <c r="U2" t="s">
        <v>38</v>
      </c>
      <c r="V2" t="s">
        <v>39</v>
      </c>
      <c r="W2" s="3">
        <f>Table1[[#This Row],[Profit]]/Table1[[#This Row],[Sales]]</f>
        <v>0.19213766718911959</v>
      </c>
      <c r="X2" t="str">
        <f>IF(Table1[[#This Row],[Sales]]&gt;=30000,"High Value",IF(Table1[[#This Row],[Sales]]&gt;=15000,"Medium Value","Low Value"))</f>
        <v>Medium Value</v>
      </c>
      <c r="Y2" t="str">
        <f>IF(Table1[[#This Row],[Quantity]]&gt;=3,"Bulk Order","Regular Order")</f>
        <v>Regular Order</v>
      </c>
      <c r="Z2" t="str">
        <f>TEXT(Table1[[#This Row],[Order Date]],"dddd")</f>
        <v>Wednesday</v>
      </c>
    </row>
    <row r="3" spans="1:26" ht="14.4" x14ac:dyDescent="0.3">
      <c r="A3" t="s">
        <v>40</v>
      </c>
      <c r="B3" t="s">
        <v>41</v>
      </c>
      <c r="C3" s="2">
        <v>46184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33</v>
      </c>
      <c r="J3" t="s">
        <v>47</v>
      </c>
      <c r="K3" t="s">
        <v>48</v>
      </c>
      <c r="L3" t="s">
        <v>49</v>
      </c>
      <c r="M3">
        <v>1</v>
      </c>
      <c r="N3">
        <v>7402</v>
      </c>
      <c r="O3" s="2">
        <v>10</v>
      </c>
      <c r="P3" s="2">
        <v>6661.8</v>
      </c>
      <c r="Q3" s="2">
        <v>5321.62</v>
      </c>
      <c r="R3" s="2">
        <v>1340.18</v>
      </c>
      <c r="S3" t="s">
        <v>50</v>
      </c>
      <c r="T3">
        <v>4</v>
      </c>
      <c r="U3" t="s">
        <v>51</v>
      </c>
      <c r="V3" t="s">
        <v>52</v>
      </c>
      <c r="W3" s="3">
        <f>Table1[[#This Row],[Profit]]/Table1[[#This Row],[Sales]]</f>
        <v>0.20117385691554834</v>
      </c>
      <c r="X3" t="str">
        <f>IF(Table1[[#This Row],[Sales]]&gt;=30000,"High Value",IF(Table1[[#This Row],[Sales]]&gt;=15000,"Medium Value","Low Value"))</f>
        <v>Low Value</v>
      </c>
      <c r="Y3" t="str">
        <f>IF(Table1[[#This Row],[Quantity]]&gt;=3,"Bulk Order","Regular Order")</f>
        <v>Regular Order</v>
      </c>
      <c r="Z3" t="str">
        <f>TEXT(Table1[[#This Row],[Order Date]],"dddd")</f>
        <v>Thursday</v>
      </c>
    </row>
    <row r="4" spans="1:26" ht="14.4" x14ac:dyDescent="0.3">
      <c r="A4" t="s">
        <v>53</v>
      </c>
      <c r="B4" t="s">
        <v>54</v>
      </c>
      <c r="C4" s="2">
        <v>46158</v>
      </c>
      <c r="D4" t="s">
        <v>28</v>
      </c>
      <c r="E4" t="s">
        <v>55</v>
      </c>
      <c r="F4" t="s">
        <v>56</v>
      </c>
      <c r="G4" t="s">
        <v>57</v>
      </c>
      <c r="H4" t="s">
        <v>46</v>
      </c>
      <c r="I4" t="s">
        <v>58</v>
      </c>
      <c r="J4" t="s">
        <v>59</v>
      </c>
      <c r="K4" t="s">
        <v>60</v>
      </c>
      <c r="L4" t="s">
        <v>61</v>
      </c>
      <c r="M4">
        <v>4</v>
      </c>
      <c r="N4">
        <v>16407</v>
      </c>
      <c r="O4" s="2">
        <v>0</v>
      </c>
      <c r="P4" s="2">
        <v>65628</v>
      </c>
      <c r="Q4" s="2">
        <v>51271.85</v>
      </c>
      <c r="R4" s="2">
        <v>14356.15</v>
      </c>
      <c r="S4" t="s">
        <v>62</v>
      </c>
      <c r="T4">
        <v>4</v>
      </c>
      <c r="U4" t="s">
        <v>38</v>
      </c>
      <c r="V4" t="s">
        <v>63</v>
      </c>
      <c r="W4" s="3">
        <f>Table1[[#This Row],[Profit]]/Table1[[#This Row],[Sales]]</f>
        <v>0.21875038093496676</v>
      </c>
      <c r="X4" t="str">
        <f>IF(Table1[[#This Row],[Sales]]&gt;=30000,"High Value",IF(Table1[[#This Row],[Sales]]&gt;=15000,"Medium Value","Low Value"))</f>
        <v>High Value</v>
      </c>
      <c r="Y4" t="str">
        <f>IF(Table1[[#This Row],[Quantity]]&gt;=3,"Bulk Order","Regular Order")</f>
        <v>Bulk Order</v>
      </c>
      <c r="Z4" t="str">
        <f>TEXT(Table1[[#This Row],[Order Date]],"dddd")</f>
        <v>Saturday</v>
      </c>
    </row>
    <row r="5" spans="1:26" ht="14.4" x14ac:dyDescent="0.3">
      <c r="A5" t="s">
        <v>64</v>
      </c>
      <c r="B5" t="s">
        <v>65</v>
      </c>
      <c r="C5" s="2">
        <v>46156</v>
      </c>
      <c r="D5" t="s">
        <v>28</v>
      </c>
      <c r="E5" t="s">
        <v>66</v>
      </c>
      <c r="F5" t="s">
        <v>67</v>
      </c>
      <c r="G5" t="s">
        <v>68</v>
      </c>
      <c r="H5" t="s">
        <v>32</v>
      </c>
      <c r="I5" t="s">
        <v>33</v>
      </c>
      <c r="J5" t="s">
        <v>47</v>
      </c>
      <c r="K5" t="s">
        <v>69</v>
      </c>
      <c r="L5" t="s">
        <v>70</v>
      </c>
      <c r="M5">
        <v>1</v>
      </c>
      <c r="N5">
        <v>7676</v>
      </c>
      <c r="O5" s="2">
        <v>5</v>
      </c>
      <c r="P5" s="2">
        <v>7292.2</v>
      </c>
      <c r="Q5" s="2">
        <v>5947.31</v>
      </c>
      <c r="R5" s="2">
        <v>1344.89</v>
      </c>
      <c r="S5" t="s">
        <v>37</v>
      </c>
      <c r="T5">
        <v>5</v>
      </c>
      <c r="U5" t="s">
        <v>51</v>
      </c>
      <c r="V5" t="s">
        <v>52</v>
      </c>
      <c r="W5" s="3">
        <f>Table1[[#This Row],[Profit]]/Table1[[#This Row],[Sales]]</f>
        <v>0.18442856751049069</v>
      </c>
      <c r="X5" t="str">
        <f>IF(Table1[[#This Row],[Sales]]&gt;=30000,"High Value",IF(Table1[[#This Row],[Sales]]&gt;=15000,"Medium Value","Low Value"))</f>
        <v>Low Value</v>
      </c>
      <c r="Y5" t="str">
        <f>IF(Table1[[#This Row],[Quantity]]&gt;=3,"Bulk Order","Regular Order")</f>
        <v>Regular Order</v>
      </c>
      <c r="Z5" t="str">
        <f>TEXT(Table1[[#This Row],[Order Date]],"dddd")</f>
        <v>Thursday</v>
      </c>
    </row>
    <row r="6" spans="1:26" ht="14.4" x14ac:dyDescent="0.3">
      <c r="A6" t="s">
        <v>71</v>
      </c>
      <c r="B6" t="s">
        <v>72</v>
      </c>
      <c r="C6" s="2">
        <v>46163</v>
      </c>
      <c r="D6" t="s">
        <v>28</v>
      </c>
      <c r="E6" t="s">
        <v>66</v>
      </c>
      <c r="F6" t="s">
        <v>73</v>
      </c>
      <c r="G6" t="s">
        <v>74</v>
      </c>
      <c r="H6" t="s">
        <v>46</v>
      </c>
      <c r="I6" t="s">
        <v>33</v>
      </c>
      <c r="J6" t="s">
        <v>59</v>
      </c>
      <c r="K6" t="s">
        <v>60</v>
      </c>
      <c r="L6" t="s">
        <v>61</v>
      </c>
      <c r="M6">
        <v>2</v>
      </c>
      <c r="N6">
        <v>15670</v>
      </c>
      <c r="O6" s="2">
        <v>10</v>
      </c>
      <c r="P6" s="2">
        <v>28206</v>
      </c>
      <c r="Q6" s="2">
        <v>22427.66</v>
      </c>
      <c r="R6" s="2">
        <v>5778.34</v>
      </c>
      <c r="S6" t="s">
        <v>50</v>
      </c>
      <c r="T6">
        <v>5</v>
      </c>
      <c r="U6" t="s">
        <v>38</v>
      </c>
      <c r="V6" t="s">
        <v>75</v>
      </c>
      <c r="W6" s="3">
        <f>Table1[[#This Row],[Profit]]/Table1[[#This Row],[Sales]]</f>
        <v>0.2048620860809757</v>
      </c>
      <c r="X6" t="str">
        <f>IF(Table1[[#This Row],[Sales]]&gt;=30000,"High Value",IF(Table1[[#This Row],[Sales]]&gt;=15000,"Medium Value","Low Value"))</f>
        <v>Medium Value</v>
      </c>
      <c r="Y6" t="str">
        <f>IF(Table1[[#This Row],[Quantity]]&gt;=3,"Bulk Order","Regular Order")</f>
        <v>Regular Order</v>
      </c>
      <c r="Z6" t="str">
        <f>TEXT(Table1[[#This Row],[Order Date]],"dddd")</f>
        <v>Thursday</v>
      </c>
    </row>
    <row r="7" spans="1:26" ht="14.4" x14ac:dyDescent="0.3">
      <c r="A7" t="s">
        <v>76</v>
      </c>
      <c r="B7" t="s">
        <v>77</v>
      </c>
      <c r="C7" s="2">
        <v>46151</v>
      </c>
      <c r="D7" t="s">
        <v>28</v>
      </c>
      <c r="E7" t="s">
        <v>78</v>
      </c>
      <c r="F7" t="s">
        <v>79</v>
      </c>
      <c r="G7" t="s">
        <v>80</v>
      </c>
      <c r="H7" t="s">
        <v>46</v>
      </c>
      <c r="I7" t="s">
        <v>33</v>
      </c>
      <c r="J7" t="s">
        <v>47</v>
      </c>
      <c r="K7" t="s">
        <v>48</v>
      </c>
      <c r="L7" t="s">
        <v>49</v>
      </c>
      <c r="M7">
        <v>2</v>
      </c>
      <c r="N7">
        <v>7197</v>
      </c>
      <c r="O7" s="2">
        <v>5</v>
      </c>
      <c r="P7" s="2">
        <v>13674.3</v>
      </c>
      <c r="Q7" s="2">
        <v>11183.2</v>
      </c>
      <c r="R7" s="2">
        <v>2491.1</v>
      </c>
      <c r="S7" t="s">
        <v>81</v>
      </c>
      <c r="T7">
        <v>4</v>
      </c>
      <c r="U7" t="s">
        <v>51</v>
      </c>
      <c r="V7" t="s">
        <v>63</v>
      </c>
      <c r="W7" s="3">
        <f>Table1[[#This Row],[Profit]]/Table1[[#This Row],[Sales]]</f>
        <v>0.18217385899095384</v>
      </c>
      <c r="X7" t="str">
        <f>IF(Table1[[#This Row],[Sales]]&gt;=30000,"High Value",IF(Table1[[#This Row],[Sales]]&gt;=15000,"Medium Value","Low Value"))</f>
        <v>Low Value</v>
      </c>
      <c r="Y7" t="str">
        <f>IF(Table1[[#This Row],[Quantity]]&gt;=3,"Bulk Order","Regular Order")</f>
        <v>Regular Order</v>
      </c>
      <c r="Z7" t="str">
        <f>TEXT(Table1[[#This Row],[Order Date]],"dddd")</f>
        <v>Saturday</v>
      </c>
    </row>
    <row r="8" spans="1:26" ht="14.4" x14ac:dyDescent="0.3">
      <c r="A8" t="s">
        <v>82</v>
      </c>
      <c r="B8" t="s">
        <v>83</v>
      </c>
      <c r="C8" s="2">
        <v>46145</v>
      </c>
      <c r="D8" t="s">
        <v>28</v>
      </c>
      <c r="E8" t="s">
        <v>43</v>
      </c>
      <c r="F8" t="s">
        <v>84</v>
      </c>
      <c r="G8" t="s">
        <v>85</v>
      </c>
      <c r="H8" t="s">
        <v>32</v>
      </c>
      <c r="I8" t="s">
        <v>58</v>
      </c>
      <c r="J8" t="s">
        <v>59</v>
      </c>
      <c r="K8" t="s">
        <v>60</v>
      </c>
      <c r="L8" t="s">
        <v>61</v>
      </c>
      <c r="M8">
        <v>4</v>
      </c>
      <c r="N8">
        <v>16768</v>
      </c>
      <c r="O8" s="2">
        <v>5</v>
      </c>
      <c r="P8" s="2">
        <v>63718.400000000001</v>
      </c>
      <c r="Q8" s="2">
        <v>52190.97</v>
      </c>
      <c r="R8" s="2">
        <v>11527.43</v>
      </c>
      <c r="S8" t="s">
        <v>50</v>
      </c>
      <c r="T8">
        <v>5</v>
      </c>
      <c r="U8" t="s">
        <v>51</v>
      </c>
      <c r="V8" t="s">
        <v>86</v>
      </c>
      <c r="W8" s="3">
        <f>Table1[[#This Row],[Profit]]/Table1[[#This Row],[Sales]]</f>
        <v>0.18091210702089192</v>
      </c>
      <c r="X8" t="str">
        <f>IF(Table1[[#This Row],[Sales]]&gt;=30000,"High Value",IF(Table1[[#This Row],[Sales]]&gt;=15000,"Medium Value","Low Value"))</f>
        <v>High Value</v>
      </c>
      <c r="Y8" t="str">
        <f>IF(Table1[[#This Row],[Quantity]]&gt;=3,"Bulk Order","Regular Order")</f>
        <v>Bulk Order</v>
      </c>
      <c r="Z8" t="str">
        <f>TEXT(Table1[[#This Row],[Order Date]],"dddd")</f>
        <v>Sunday</v>
      </c>
    </row>
    <row r="9" spans="1:26" ht="14.4" x14ac:dyDescent="0.3">
      <c r="A9" t="s">
        <v>87</v>
      </c>
      <c r="B9" t="s">
        <v>88</v>
      </c>
      <c r="C9" s="2">
        <v>46180</v>
      </c>
      <c r="D9" t="s">
        <v>42</v>
      </c>
      <c r="E9" t="s">
        <v>55</v>
      </c>
      <c r="F9" t="s">
        <v>89</v>
      </c>
      <c r="G9" t="s">
        <v>68</v>
      </c>
      <c r="H9" t="s">
        <v>32</v>
      </c>
      <c r="I9" t="s">
        <v>33</v>
      </c>
      <c r="J9" t="s">
        <v>59</v>
      </c>
      <c r="K9" t="s">
        <v>60</v>
      </c>
      <c r="L9" t="s">
        <v>61</v>
      </c>
      <c r="M9">
        <v>1</v>
      </c>
      <c r="N9">
        <v>16158</v>
      </c>
      <c r="O9" s="2">
        <v>5</v>
      </c>
      <c r="P9" s="2">
        <v>15350.1</v>
      </c>
      <c r="Q9" s="2">
        <v>12341.63</v>
      </c>
      <c r="R9" s="2">
        <v>3008.47</v>
      </c>
      <c r="S9" t="s">
        <v>81</v>
      </c>
      <c r="T9">
        <v>5</v>
      </c>
      <c r="U9" t="s">
        <v>90</v>
      </c>
      <c r="V9" t="s">
        <v>63</v>
      </c>
      <c r="W9" s="3">
        <f>Table1[[#This Row],[Profit]]/Table1[[#This Row],[Sales]]</f>
        <v>0.1959902541351522</v>
      </c>
      <c r="X9" t="str">
        <f>IF(Table1[[#This Row],[Sales]]&gt;=30000,"High Value",IF(Table1[[#This Row],[Sales]]&gt;=15000,"Medium Value","Low Value"))</f>
        <v>Medium Value</v>
      </c>
      <c r="Y9" t="str">
        <f>IF(Table1[[#This Row],[Quantity]]&gt;=3,"Bulk Order","Regular Order")</f>
        <v>Regular Order</v>
      </c>
      <c r="Z9" t="str">
        <f>TEXT(Table1[[#This Row],[Order Date]],"dddd")</f>
        <v>Sunday</v>
      </c>
    </row>
    <row r="10" spans="1:26" ht="14.4" x14ac:dyDescent="0.3">
      <c r="A10" t="s">
        <v>91</v>
      </c>
      <c r="B10" t="s">
        <v>92</v>
      </c>
      <c r="C10" s="2">
        <v>46154</v>
      </c>
      <c r="D10" t="s">
        <v>28</v>
      </c>
      <c r="E10" t="s">
        <v>29</v>
      </c>
      <c r="F10" t="s">
        <v>93</v>
      </c>
      <c r="G10" t="s">
        <v>94</v>
      </c>
      <c r="H10" t="s">
        <v>46</v>
      </c>
      <c r="I10" t="s">
        <v>58</v>
      </c>
      <c r="J10" t="s">
        <v>59</v>
      </c>
      <c r="K10" t="s">
        <v>95</v>
      </c>
      <c r="L10" t="s">
        <v>36</v>
      </c>
      <c r="M10">
        <v>4</v>
      </c>
      <c r="N10">
        <v>16018</v>
      </c>
      <c r="O10" s="2">
        <v>10</v>
      </c>
      <c r="P10" s="2">
        <v>57664.800000000003</v>
      </c>
      <c r="Q10" s="2">
        <v>45758.79</v>
      </c>
      <c r="R10" s="2">
        <v>11906.01</v>
      </c>
      <c r="S10" t="s">
        <v>37</v>
      </c>
      <c r="T10">
        <v>4</v>
      </c>
      <c r="U10" t="s">
        <v>51</v>
      </c>
      <c r="V10" t="s">
        <v>39</v>
      </c>
      <c r="W10" s="3">
        <f>Table1[[#This Row],[Profit]]/Table1[[#This Row],[Sales]]</f>
        <v>0.20646928455487576</v>
      </c>
      <c r="X10" t="str">
        <f>IF(Table1[[#This Row],[Sales]]&gt;=30000,"High Value",IF(Table1[[#This Row],[Sales]]&gt;=15000,"Medium Value","Low Value"))</f>
        <v>High Value</v>
      </c>
      <c r="Y10" t="str">
        <f>IF(Table1[[#This Row],[Quantity]]&gt;=3,"Bulk Order","Regular Order")</f>
        <v>Bulk Order</v>
      </c>
      <c r="Z10" t="str">
        <f>TEXT(Table1[[#This Row],[Order Date]],"dddd")</f>
        <v>Tuesday</v>
      </c>
    </row>
    <row r="11" spans="1:26" ht="14.4" x14ac:dyDescent="0.3">
      <c r="A11" t="s">
        <v>96</v>
      </c>
      <c r="B11" t="s">
        <v>97</v>
      </c>
      <c r="C11" s="2">
        <v>46157</v>
      </c>
      <c r="D11" t="s">
        <v>28</v>
      </c>
      <c r="E11" t="s">
        <v>78</v>
      </c>
      <c r="F11" t="s">
        <v>98</v>
      </c>
      <c r="G11" t="s">
        <v>99</v>
      </c>
      <c r="H11" t="s">
        <v>46</v>
      </c>
      <c r="I11" t="s">
        <v>58</v>
      </c>
      <c r="J11" t="s">
        <v>59</v>
      </c>
      <c r="K11" t="s">
        <v>60</v>
      </c>
      <c r="L11" t="s">
        <v>61</v>
      </c>
      <c r="M11">
        <v>3</v>
      </c>
      <c r="N11">
        <v>16295</v>
      </c>
      <c r="O11" s="2">
        <v>5</v>
      </c>
      <c r="P11" s="2">
        <v>46440.75</v>
      </c>
      <c r="Q11" s="2">
        <v>37012.839999999997</v>
      </c>
      <c r="R11" s="2">
        <v>9427.91</v>
      </c>
      <c r="S11" t="s">
        <v>81</v>
      </c>
      <c r="T11">
        <v>5</v>
      </c>
      <c r="U11" t="s">
        <v>51</v>
      </c>
      <c r="V11" t="s">
        <v>86</v>
      </c>
      <c r="W11" s="3">
        <f>Table1[[#This Row],[Profit]]/Table1[[#This Row],[Sales]]</f>
        <v>0.20300942598902902</v>
      </c>
      <c r="X11" t="str">
        <f>IF(Table1[[#This Row],[Sales]]&gt;=30000,"High Value",IF(Table1[[#This Row],[Sales]]&gt;=15000,"Medium Value","Low Value"))</f>
        <v>High Value</v>
      </c>
      <c r="Y11" t="str">
        <f>IF(Table1[[#This Row],[Quantity]]&gt;=3,"Bulk Order","Regular Order")</f>
        <v>Bulk Order</v>
      </c>
      <c r="Z11" t="str">
        <f>TEXT(Table1[[#This Row],[Order Date]],"dddd")</f>
        <v>Friday</v>
      </c>
    </row>
    <row r="12" spans="1:26" ht="14.4" x14ac:dyDescent="0.3">
      <c r="A12" t="s">
        <v>100</v>
      </c>
      <c r="B12" t="s">
        <v>101</v>
      </c>
      <c r="C12" s="2">
        <v>46203</v>
      </c>
      <c r="D12" t="s">
        <v>42</v>
      </c>
      <c r="E12" t="s">
        <v>102</v>
      </c>
      <c r="F12" t="s">
        <v>103</v>
      </c>
      <c r="G12" t="s">
        <v>104</v>
      </c>
      <c r="H12" t="s">
        <v>32</v>
      </c>
      <c r="I12" t="s">
        <v>58</v>
      </c>
      <c r="J12" t="s">
        <v>59</v>
      </c>
      <c r="K12" t="s">
        <v>60</v>
      </c>
      <c r="L12" t="s">
        <v>61</v>
      </c>
      <c r="M12">
        <v>4</v>
      </c>
      <c r="N12">
        <v>16729</v>
      </c>
      <c r="O12" s="2">
        <v>0</v>
      </c>
      <c r="P12" s="2">
        <v>66916</v>
      </c>
      <c r="Q12" s="2">
        <v>53425</v>
      </c>
      <c r="R12" s="2">
        <v>13491</v>
      </c>
      <c r="S12" t="s">
        <v>37</v>
      </c>
      <c r="T12">
        <v>4</v>
      </c>
      <c r="U12" t="s">
        <v>51</v>
      </c>
      <c r="V12" t="s">
        <v>52</v>
      </c>
      <c r="W12" s="3">
        <f>Table1[[#This Row],[Profit]]/Table1[[#This Row],[Sales]]</f>
        <v>0.20161097495367325</v>
      </c>
      <c r="X12" t="str">
        <f>IF(Table1[[#This Row],[Sales]]&gt;=30000,"High Value",IF(Table1[[#This Row],[Sales]]&gt;=15000,"Medium Value","Low Value"))</f>
        <v>High Value</v>
      </c>
      <c r="Y12" t="str">
        <f>IF(Table1[[#This Row],[Quantity]]&gt;=3,"Bulk Order","Regular Order")</f>
        <v>Bulk Order</v>
      </c>
      <c r="Z12" t="str">
        <f>TEXT(Table1[[#This Row],[Order Date]],"dddd")</f>
        <v>Tuesday</v>
      </c>
    </row>
    <row r="13" spans="1:26" ht="14.4" x14ac:dyDescent="0.3">
      <c r="A13" t="s">
        <v>105</v>
      </c>
      <c r="B13" t="s">
        <v>106</v>
      </c>
      <c r="C13" s="2">
        <v>46143</v>
      </c>
      <c r="D13" t="s">
        <v>28</v>
      </c>
      <c r="E13" t="s">
        <v>78</v>
      </c>
      <c r="F13" t="s">
        <v>107</v>
      </c>
      <c r="G13" t="s">
        <v>108</v>
      </c>
      <c r="H13" t="s">
        <v>32</v>
      </c>
      <c r="I13" t="s">
        <v>33</v>
      </c>
      <c r="J13" t="s">
        <v>47</v>
      </c>
      <c r="K13" t="s">
        <v>48</v>
      </c>
      <c r="L13" t="s">
        <v>49</v>
      </c>
      <c r="M13">
        <v>2</v>
      </c>
      <c r="N13">
        <v>8290</v>
      </c>
      <c r="O13" s="2">
        <v>10</v>
      </c>
      <c r="P13" s="2">
        <v>14922</v>
      </c>
      <c r="Q13" s="2">
        <v>12133.01</v>
      </c>
      <c r="R13" s="2">
        <v>2788.99</v>
      </c>
      <c r="S13" t="s">
        <v>37</v>
      </c>
      <c r="T13">
        <v>5</v>
      </c>
      <c r="U13" t="s">
        <v>51</v>
      </c>
      <c r="V13" t="s">
        <v>39</v>
      </c>
      <c r="W13" s="3">
        <f>Table1[[#This Row],[Profit]]/Table1[[#This Row],[Sales]]</f>
        <v>0.18690457043291783</v>
      </c>
      <c r="X13" t="str">
        <f>IF(Table1[[#This Row],[Sales]]&gt;=30000,"High Value",IF(Table1[[#This Row],[Sales]]&gt;=15000,"Medium Value","Low Value"))</f>
        <v>Low Value</v>
      </c>
      <c r="Y13" t="str">
        <f>IF(Table1[[#This Row],[Quantity]]&gt;=3,"Bulk Order","Regular Order")</f>
        <v>Regular Order</v>
      </c>
      <c r="Z13" t="str">
        <f>TEXT(Table1[[#This Row],[Order Date]],"dddd")</f>
        <v>Friday</v>
      </c>
    </row>
    <row r="14" spans="1:26" ht="14.4" x14ac:dyDescent="0.3">
      <c r="A14" t="s">
        <v>109</v>
      </c>
      <c r="B14" t="s">
        <v>110</v>
      </c>
      <c r="C14" s="2">
        <v>46201</v>
      </c>
      <c r="D14" t="s">
        <v>42</v>
      </c>
      <c r="E14" t="s">
        <v>78</v>
      </c>
      <c r="F14" t="s">
        <v>111</v>
      </c>
      <c r="G14" t="s">
        <v>74</v>
      </c>
      <c r="H14" t="s">
        <v>46</v>
      </c>
      <c r="I14" t="s">
        <v>33</v>
      </c>
      <c r="J14" t="s">
        <v>47</v>
      </c>
      <c r="K14" t="s">
        <v>69</v>
      </c>
      <c r="L14" t="s">
        <v>70</v>
      </c>
      <c r="M14">
        <v>1</v>
      </c>
      <c r="N14">
        <v>7813</v>
      </c>
      <c r="O14" s="2">
        <v>10</v>
      </c>
      <c r="P14" s="2">
        <v>7031.7</v>
      </c>
      <c r="Q14" s="2">
        <v>5709.6</v>
      </c>
      <c r="R14" s="2">
        <v>1322.1</v>
      </c>
      <c r="S14" t="s">
        <v>37</v>
      </c>
      <c r="T14">
        <v>5</v>
      </c>
      <c r="U14" t="s">
        <v>51</v>
      </c>
      <c r="V14" t="s">
        <v>52</v>
      </c>
      <c r="W14" s="3">
        <f>Table1[[#This Row],[Profit]]/Table1[[#This Row],[Sales]]</f>
        <v>0.18801996672212978</v>
      </c>
      <c r="X14" t="str">
        <f>IF(Table1[[#This Row],[Sales]]&gt;=30000,"High Value",IF(Table1[[#This Row],[Sales]]&gt;=15000,"Medium Value","Low Value"))</f>
        <v>Low Value</v>
      </c>
      <c r="Y14" t="str">
        <f>IF(Table1[[#This Row],[Quantity]]&gt;=3,"Bulk Order","Regular Order")</f>
        <v>Regular Order</v>
      </c>
      <c r="Z14" t="str">
        <f>TEXT(Table1[[#This Row],[Order Date]],"dddd")</f>
        <v>Sunday</v>
      </c>
    </row>
    <row r="15" spans="1:26" ht="14.4" x14ac:dyDescent="0.3">
      <c r="A15" t="s">
        <v>112</v>
      </c>
      <c r="B15" t="s">
        <v>113</v>
      </c>
      <c r="C15" s="2">
        <v>46168</v>
      </c>
      <c r="D15" t="s">
        <v>28</v>
      </c>
      <c r="E15" t="s">
        <v>78</v>
      </c>
      <c r="F15" t="s">
        <v>114</v>
      </c>
      <c r="G15" t="s">
        <v>115</v>
      </c>
      <c r="H15" t="s">
        <v>32</v>
      </c>
      <c r="I15" t="s">
        <v>58</v>
      </c>
      <c r="J15" t="s">
        <v>47</v>
      </c>
      <c r="K15" t="s">
        <v>69</v>
      </c>
      <c r="L15" t="s">
        <v>70</v>
      </c>
      <c r="M15">
        <v>3</v>
      </c>
      <c r="N15">
        <v>8936</v>
      </c>
      <c r="O15" s="2">
        <v>10</v>
      </c>
      <c r="P15" s="2">
        <v>24127.200000000001</v>
      </c>
      <c r="Q15" s="2">
        <v>19019.7</v>
      </c>
      <c r="R15" s="2">
        <v>5107.5</v>
      </c>
      <c r="S15" t="s">
        <v>37</v>
      </c>
      <c r="T15">
        <v>5</v>
      </c>
      <c r="U15" t="s">
        <v>51</v>
      </c>
      <c r="V15" t="s">
        <v>116</v>
      </c>
      <c r="W15" s="3">
        <f>Table1[[#This Row],[Profit]]/Table1[[#This Row],[Sales]]</f>
        <v>0.21169054013727245</v>
      </c>
      <c r="X15" t="str">
        <f>IF(Table1[[#This Row],[Sales]]&gt;=30000,"High Value",IF(Table1[[#This Row],[Sales]]&gt;=15000,"Medium Value","Low Value"))</f>
        <v>Medium Value</v>
      </c>
      <c r="Y15" t="str">
        <f>IF(Table1[[#This Row],[Quantity]]&gt;=3,"Bulk Order","Regular Order")</f>
        <v>Bulk Order</v>
      </c>
      <c r="Z15" t="str">
        <f>TEXT(Table1[[#This Row],[Order Date]],"dddd")</f>
        <v>Tuesday</v>
      </c>
    </row>
    <row r="16" spans="1:26" ht="14.4" x14ac:dyDescent="0.3">
      <c r="A16" t="s">
        <v>117</v>
      </c>
      <c r="B16" t="s">
        <v>118</v>
      </c>
      <c r="C16" s="2">
        <v>46178</v>
      </c>
      <c r="D16" t="s">
        <v>42</v>
      </c>
      <c r="E16" t="s">
        <v>78</v>
      </c>
      <c r="F16" t="s">
        <v>119</v>
      </c>
      <c r="G16" t="s">
        <v>120</v>
      </c>
      <c r="H16" t="s">
        <v>46</v>
      </c>
      <c r="I16" t="s">
        <v>33</v>
      </c>
      <c r="J16" t="s">
        <v>59</v>
      </c>
      <c r="K16" t="s">
        <v>95</v>
      </c>
      <c r="L16" t="s">
        <v>36</v>
      </c>
      <c r="M16">
        <v>1</v>
      </c>
      <c r="N16">
        <v>16324</v>
      </c>
      <c r="O16" s="2">
        <v>5</v>
      </c>
      <c r="P16" s="2">
        <v>15507.8</v>
      </c>
      <c r="Q16" s="2">
        <v>12468.34</v>
      </c>
      <c r="R16" s="2">
        <v>3039.46</v>
      </c>
      <c r="S16" t="s">
        <v>81</v>
      </c>
      <c r="T16">
        <v>5</v>
      </c>
      <c r="U16" t="s">
        <v>51</v>
      </c>
      <c r="V16" t="s">
        <v>52</v>
      </c>
      <c r="W16" s="3">
        <f>Table1[[#This Row],[Profit]]/Table1[[#This Row],[Sales]]</f>
        <v>0.19599556352287237</v>
      </c>
      <c r="X16" t="str">
        <f>IF(Table1[[#This Row],[Sales]]&gt;=30000,"High Value",IF(Table1[[#This Row],[Sales]]&gt;=15000,"Medium Value","Low Value"))</f>
        <v>Medium Value</v>
      </c>
      <c r="Y16" t="str">
        <f>IF(Table1[[#This Row],[Quantity]]&gt;=3,"Bulk Order","Regular Order")</f>
        <v>Regular Order</v>
      </c>
      <c r="Z16" t="str">
        <f>TEXT(Table1[[#This Row],[Order Date]],"dddd")</f>
        <v>Friday</v>
      </c>
    </row>
    <row r="17" spans="1:26" ht="14.4" x14ac:dyDescent="0.3">
      <c r="A17" t="s">
        <v>121</v>
      </c>
      <c r="B17" t="s">
        <v>122</v>
      </c>
      <c r="C17" s="2">
        <v>46160</v>
      </c>
      <c r="D17" t="s">
        <v>28</v>
      </c>
      <c r="E17" t="s">
        <v>43</v>
      </c>
      <c r="F17" t="s">
        <v>123</v>
      </c>
      <c r="G17" t="s">
        <v>124</v>
      </c>
      <c r="H17" t="s">
        <v>46</v>
      </c>
      <c r="I17" t="s">
        <v>33</v>
      </c>
      <c r="J17" t="s">
        <v>59</v>
      </c>
      <c r="K17" t="s">
        <v>60</v>
      </c>
      <c r="L17" t="s">
        <v>61</v>
      </c>
      <c r="M17">
        <v>2</v>
      </c>
      <c r="N17">
        <v>16521</v>
      </c>
      <c r="O17" s="2">
        <v>0</v>
      </c>
      <c r="P17" s="2">
        <v>33042</v>
      </c>
      <c r="Q17" s="2">
        <v>26907.81</v>
      </c>
      <c r="R17" s="2">
        <v>6134.19</v>
      </c>
      <c r="S17" t="s">
        <v>37</v>
      </c>
      <c r="T17">
        <v>5</v>
      </c>
      <c r="U17" t="s">
        <v>51</v>
      </c>
      <c r="V17" t="s">
        <v>86</v>
      </c>
      <c r="W17" s="3">
        <f>Table1[[#This Row],[Profit]]/Table1[[#This Row],[Sales]]</f>
        <v>0.18564826584347194</v>
      </c>
      <c r="X17" t="str">
        <f>IF(Table1[[#This Row],[Sales]]&gt;=30000,"High Value",IF(Table1[[#This Row],[Sales]]&gt;=15000,"Medium Value","Low Value"))</f>
        <v>High Value</v>
      </c>
      <c r="Y17" t="str">
        <f>IF(Table1[[#This Row],[Quantity]]&gt;=3,"Bulk Order","Regular Order")</f>
        <v>Regular Order</v>
      </c>
      <c r="Z17" t="str">
        <f>TEXT(Table1[[#This Row],[Order Date]],"dddd")</f>
        <v>Monday</v>
      </c>
    </row>
    <row r="18" spans="1:26" ht="14.4" x14ac:dyDescent="0.3">
      <c r="A18" t="s">
        <v>125</v>
      </c>
      <c r="B18" t="s">
        <v>126</v>
      </c>
      <c r="C18" s="2">
        <v>46144</v>
      </c>
      <c r="D18" t="s">
        <v>28</v>
      </c>
      <c r="E18" t="s">
        <v>29</v>
      </c>
      <c r="F18" t="s">
        <v>127</v>
      </c>
      <c r="G18" t="s">
        <v>80</v>
      </c>
      <c r="H18" t="s">
        <v>46</v>
      </c>
      <c r="I18" t="s">
        <v>33</v>
      </c>
      <c r="J18" t="s">
        <v>128</v>
      </c>
      <c r="K18" t="s">
        <v>129</v>
      </c>
      <c r="L18" t="s">
        <v>130</v>
      </c>
      <c r="M18">
        <v>1</v>
      </c>
      <c r="N18">
        <v>1505</v>
      </c>
      <c r="O18" s="2">
        <v>5</v>
      </c>
      <c r="P18" s="2">
        <v>1429.75</v>
      </c>
      <c r="Q18" s="2">
        <v>955.29</v>
      </c>
      <c r="R18" s="2">
        <v>474.46</v>
      </c>
      <c r="S18" t="s">
        <v>50</v>
      </c>
      <c r="T18">
        <v>5</v>
      </c>
      <c r="U18" t="s">
        <v>51</v>
      </c>
      <c r="V18" t="s">
        <v>52</v>
      </c>
      <c r="W18" s="3">
        <f>Table1[[#This Row],[Profit]]/Table1[[#This Row],[Sales]]</f>
        <v>0.33184822521419827</v>
      </c>
      <c r="X18" t="str">
        <f>IF(Table1[[#This Row],[Sales]]&gt;=30000,"High Value",IF(Table1[[#This Row],[Sales]]&gt;=15000,"Medium Value","Low Value"))</f>
        <v>Low Value</v>
      </c>
      <c r="Y18" t="str">
        <f>IF(Table1[[#This Row],[Quantity]]&gt;=3,"Bulk Order","Regular Order")</f>
        <v>Regular Order</v>
      </c>
      <c r="Z18" t="str">
        <f>TEXT(Table1[[#This Row],[Order Date]],"dddd")</f>
        <v>Saturday</v>
      </c>
    </row>
    <row r="19" spans="1:26" ht="14.4" x14ac:dyDescent="0.3">
      <c r="A19" t="s">
        <v>131</v>
      </c>
      <c r="B19" t="s">
        <v>132</v>
      </c>
      <c r="C19" s="2">
        <v>46157</v>
      </c>
      <c r="D19" t="s">
        <v>28</v>
      </c>
      <c r="E19" t="s">
        <v>133</v>
      </c>
      <c r="F19" t="s">
        <v>56</v>
      </c>
      <c r="G19" t="s">
        <v>134</v>
      </c>
      <c r="H19" t="s">
        <v>46</v>
      </c>
      <c r="I19" t="s">
        <v>58</v>
      </c>
      <c r="J19" t="s">
        <v>59</v>
      </c>
      <c r="K19" t="s">
        <v>60</v>
      </c>
      <c r="L19" t="s">
        <v>61</v>
      </c>
      <c r="M19">
        <v>3</v>
      </c>
      <c r="N19">
        <v>17267</v>
      </c>
      <c r="O19" s="2">
        <v>5</v>
      </c>
      <c r="P19" s="2">
        <v>49210.95</v>
      </c>
      <c r="Q19" s="2">
        <v>39824.550000000003</v>
      </c>
      <c r="R19" s="2">
        <v>9386.4</v>
      </c>
      <c r="S19" t="s">
        <v>50</v>
      </c>
      <c r="T19">
        <v>4</v>
      </c>
      <c r="U19" t="s">
        <v>51</v>
      </c>
      <c r="V19" t="s">
        <v>75</v>
      </c>
      <c r="W19" s="3">
        <f>Table1[[#This Row],[Profit]]/Table1[[#This Row],[Sales]]</f>
        <v>0.19073803696128605</v>
      </c>
      <c r="X19" t="str">
        <f>IF(Table1[[#This Row],[Sales]]&gt;=30000,"High Value",IF(Table1[[#This Row],[Sales]]&gt;=15000,"Medium Value","Low Value"))</f>
        <v>High Value</v>
      </c>
      <c r="Y19" t="str">
        <f>IF(Table1[[#This Row],[Quantity]]&gt;=3,"Bulk Order","Regular Order")</f>
        <v>Bulk Order</v>
      </c>
      <c r="Z19" t="str">
        <f>TEXT(Table1[[#This Row],[Order Date]],"dddd")</f>
        <v>Friday</v>
      </c>
    </row>
    <row r="20" spans="1:26" ht="14.4" x14ac:dyDescent="0.3">
      <c r="A20" t="s">
        <v>135</v>
      </c>
      <c r="B20" t="s">
        <v>136</v>
      </c>
      <c r="C20" s="2">
        <v>46144</v>
      </c>
      <c r="D20" t="s">
        <v>28</v>
      </c>
      <c r="E20" t="s">
        <v>66</v>
      </c>
      <c r="F20" t="s">
        <v>137</v>
      </c>
      <c r="G20" t="s">
        <v>138</v>
      </c>
      <c r="H20" t="s">
        <v>32</v>
      </c>
      <c r="I20" t="s">
        <v>33</v>
      </c>
      <c r="J20" t="s">
        <v>47</v>
      </c>
      <c r="K20" t="s">
        <v>69</v>
      </c>
      <c r="L20" t="s">
        <v>70</v>
      </c>
      <c r="M20">
        <v>2</v>
      </c>
      <c r="N20">
        <v>8867</v>
      </c>
      <c r="O20" s="2">
        <v>0</v>
      </c>
      <c r="P20" s="2">
        <v>17734</v>
      </c>
      <c r="Q20" s="2">
        <v>13837.51</v>
      </c>
      <c r="R20" s="2">
        <v>3896.49</v>
      </c>
      <c r="S20" t="s">
        <v>50</v>
      </c>
      <c r="T20">
        <v>4</v>
      </c>
      <c r="U20" t="s">
        <v>51</v>
      </c>
      <c r="V20" t="s">
        <v>39</v>
      </c>
      <c r="W20" s="3">
        <f>Table1[[#This Row],[Profit]]/Table1[[#This Row],[Sales]]</f>
        <v>0.21971861960076688</v>
      </c>
      <c r="X20" t="str">
        <f>IF(Table1[[#This Row],[Sales]]&gt;=30000,"High Value",IF(Table1[[#This Row],[Sales]]&gt;=15000,"Medium Value","Low Value"))</f>
        <v>Medium Value</v>
      </c>
      <c r="Y20" t="str">
        <f>IF(Table1[[#This Row],[Quantity]]&gt;=3,"Bulk Order","Regular Order")</f>
        <v>Regular Order</v>
      </c>
      <c r="Z20" t="str">
        <f>TEXT(Table1[[#This Row],[Order Date]],"dddd")</f>
        <v>Saturday</v>
      </c>
    </row>
    <row r="21" spans="1:26" ht="14.4" x14ac:dyDescent="0.3">
      <c r="A21" t="s">
        <v>139</v>
      </c>
      <c r="B21" t="s">
        <v>140</v>
      </c>
      <c r="C21" s="2">
        <v>46168</v>
      </c>
      <c r="D21" t="s">
        <v>28</v>
      </c>
      <c r="E21" t="s">
        <v>78</v>
      </c>
      <c r="F21" t="s">
        <v>44</v>
      </c>
      <c r="G21" t="s">
        <v>141</v>
      </c>
      <c r="H21" t="s">
        <v>46</v>
      </c>
      <c r="I21" t="s">
        <v>33</v>
      </c>
      <c r="J21" t="s">
        <v>59</v>
      </c>
      <c r="K21" t="s">
        <v>60</v>
      </c>
      <c r="L21" t="s">
        <v>61</v>
      </c>
      <c r="M21">
        <v>2</v>
      </c>
      <c r="N21">
        <v>16924</v>
      </c>
      <c r="O21" s="2">
        <v>5</v>
      </c>
      <c r="P21" s="2">
        <v>32155.599999999999</v>
      </c>
      <c r="Q21" s="2">
        <v>25283.48</v>
      </c>
      <c r="R21" s="2">
        <v>6872.12</v>
      </c>
      <c r="S21" t="s">
        <v>81</v>
      </c>
      <c r="T21">
        <v>4</v>
      </c>
      <c r="U21" t="s">
        <v>51</v>
      </c>
      <c r="V21" t="s">
        <v>39</v>
      </c>
      <c r="W21" s="3">
        <f>Table1[[#This Row],[Profit]]/Table1[[#This Row],[Sales]]</f>
        <v>0.21371456293771537</v>
      </c>
      <c r="X21" t="str">
        <f>IF(Table1[[#This Row],[Sales]]&gt;=30000,"High Value",IF(Table1[[#This Row],[Sales]]&gt;=15000,"Medium Value","Low Value"))</f>
        <v>High Value</v>
      </c>
      <c r="Y21" t="str">
        <f>IF(Table1[[#This Row],[Quantity]]&gt;=3,"Bulk Order","Regular Order")</f>
        <v>Regular Order</v>
      </c>
      <c r="Z21" t="str">
        <f>TEXT(Table1[[#This Row],[Order Date]],"dddd")</f>
        <v>Tuesday</v>
      </c>
    </row>
    <row r="22" spans="1:26" ht="14.4" x14ac:dyDescent="0.3">
      <c r="A22" t="s">
        <v>142</v>
      </c>
      <c r="B22" t="s">
        <v>143</v>
      </c>
      <c r="C22" s="2">
        <v>46166</v>
      </c>
      <c r="D22" t="s">
        <v>28</v>
      </c>
      <c r="E22" t="s">
        <v>133</v>
      </c>
      <c r="F22" t="s">
        <v>144</v>
      </c>
      <c r="G22" t="s">
        <v>124</v>
      </c>
      <c r="H22" t="s">
        <v>46</v>
      </c>
      <c r="I22" t="s">
        <v>33</v>
      </c>
      <c r="J22" t="s">
        <v>47</v>
      </c>
      <c r="K22" t="s">
        <v>48</v>
      </c>
      <c r="L22" t="s">
        <v>49</v>
      </c>
      <c r="M22">
        <v>1</v>
      </c>
      <c r="N22">
        <v>7055</v>
      </c>
      <c r="O22" s="2">
        <v>0</v>
      </c>
      <c r="P22" s="2">
        <v>7055</v>
      </c>
      <c r="Q22" s="2">
        <v>5606.38</v>
      </c>
      <c r="R22" s="2">
        <v>1448.62</v>
      </c>
      <c r="S22" t="s">
        <v>81</v>
      </c>
      <c r="T22">
        <v>4</v>
      </c>
      <c r="U22" t="s">
        <v>51</v>
      </c>
      <c r="V22" t="s">
        <v>52</v>
      </c>
      <c r="W22" s="3">
        <f>Table1[[#This Row],[Profit]]/Table1[[#This Row],[Sales]]</f>
        <v>0.20533238837703754</v>
      </c>
      <c r="X22" t="str">
        <f>IF(Table1[[#This Row],[Sales]]&gt;=30000,"High Value",IF(Table1[[#This Row],[Sales]]&gt;=15000,"Medium Value","Low Value"))</f>
        <v>Low Value</v>
      </c>
      <c r="Y22" t="str">
        <f>IF(Table1[[#This Row],[Quantity]]&gt;=3,"Bulk Order","Regular Order")</f>
        <v>Regular Order</v>
      </c>
      <c r="Z22" t="str">
        <f>TEXT(Table1[[#This Row],[Order Date]],"dddd")</f>
        <v>Sunday</v>
      </c>
    </row>
    <row r="23" spans="1:26" ht="14.4" x14ac:dyDescent="0.3">
      <c r="A23" t="s">
        <v>145</v>
      </c>
      <c r="B23" t="s">
        <v>146</v>
      </c>
      <c r="C23" s="2">
        <v>46195</v>
      </c>
      <c r="D23" t="s">
        <v>42</v>
      </c>
      <c r="E23" t="s">
        <v>133</v>
      </c>
      <c r="F23" t="s">
        <v>147</v>
      </c>
      <c r="G23" t="s">
        <v>148</v>
      </c>
      <c r="H23" t="s">
        <v>32</v>
      </c>
      <c r="I23" t="s">
        <v>33</v>
      </c>
      <c r="J23" t="s">
        <v>149</v>
      </c>
      <c r="K23" t="s">
        <v>150</v>
      </c>
      <c r="L23" t="s">
        <v>151</v>
      </c>
      <c r="M23">
        <v>1</v>
      </c>
      <c r="N23">
        <v>2708</v>
      </c>
      <c r="O23" s="2">
        <v>5</v>
      </c>
      <c r="P23" s="2">
        <v>2572.6</v>
      </c>
      <c r="Q23" s="2">
        <v>1937.67</v>
      </c>
      <c r="R23" s="2">
        <v>634.92999999999995</v>
      </c>
      <c r="S23" t="s">
        <v>37</v>
      </c>
      <c r="T23">
        <v>5</v>
      </c>
      <c r="U23" t="s">
        <v>51</v>
      </c>
      <c r="V23" t="s">
        <v>116</v>
      </c>
      <c r="W23" s="3">
        <f>Table1[[#This Row],[Profit]]/Table1[[#This Row],[Sales]]</f>
        <v>0.24680478892948768</v>
      </c>
      <c r="X23" t="str">
        <f>IF(Table1[[#This Row],[Sales]]&gt;=30000,"High Value",IF(Table1[[#This Row],[Sales]]&gt;=15000,"Medium Value","Low Value"))</f>
        <v>Low Value</v>
      </c>
      <c r="Y23" t="str">
        <f>IF(Table1[[#This Row],[Quantity]]&gt;=3,"Bulk Order","Regular Order")</f>
        <v>Regular Order</v>
      </c>
      <c r="Z23" t="str">
        <f>TEXT(Table1[[#This Row],[Order Date]],"dddd")</f>
        <v>Monday</v>
      </c>
    </row>
    <row r="24" spans="1:26" ht="14.4" x14ac:dyDescent="0.3">
      <c r="A24" t="s">
        <v>152</v>
      </c>
      <c r="B24" t="s">
        <v>153</v>
      </c>
      <c r="C24" s="2">
        <v>46199</v>
      </c>
      <c r="D24" t="s">
        <v>42</v>
      </c>
      <c r="E24" t="s">
        <v>29</v>
      </c>
      <c r="F24" t="s">
        <v>154</v>
      </c>
      <c r="G24" t="s">
        <v>134</v>
      </c>
      <c r="H24" t="s">
        <v>46</v>
      </c>
      <c r="I24" t="s">
        <v>33</v>
      </c>
      <c r="J24" t="s">
        <v>59</v>
      </c>
      <c r="K24" t="s">
        <v>95</v>
      </c>
      <c r="L24" t="s">
        <v>36</v>
      </c>
      <c r="M24">
        <v>2</v>
      </c>
      <c r="N24">
        <v>15506</v>
      </c>
      <c r="O24" s="2">
        <v>0</v>
      </c>
      <c r="P24" s="2">
        <v>31012</v>
      </c>
      <c r="Q24" s="2">
        <v>25399.61</v>
      </c>
      <c r="R24" s="2">
        <v>5612.39</v>
      </c>
      <c r="S24" t="s">
        <v>50</v>
      </c>
      <c r="T24">
        <v>4</v>
      </c>
      <c r="U24" t="s">
        <v>51</v>
      </c>
      <c r="V24" t="s">
        <v>75</v>
      </c>
      <c r="W24" s="3">
        <f>Table1[[#This Row],[Profit]]/Table1[[#This Row],[Sales]]</f>
        <v>0.18097478395459823</v>
      </c>
      <c r="X24" t="str">
        <f>IF(Table1[[#This Row],[Sales]]&gt;=30000,"High Value",IF(Table1[[#This Row],[Sales]]&gt;=15000,"Medium Value","Low Value"))</f>
        <v>High Value</v>
      </c>
      <c r="Y24" t="str">
        <f>IF(Table1[[#This Row],[Quantity]]&gt;=3,"Bulk Order","Regular Order")</f>
        <v>Regular Order</v>
      </c>
      <c r="Z24" t="str">
        <f>TEXT(Table1[[#This Row],[Order Date]],"dddd")</f>
        <v>Friday</v>
      </c>
    </row>
    <row r="25" spans="1:26" ht="14.4" x14ac:dyDescent="0.3">
      <c r="A25" t="s">
        <v>155</v>
      </c>
      <c r="B25" t="s">
        <v>156</v>
      </c>
      <c r="C25" s="2">
        <v>46161</v>
      </c>
      <c r="D25" t="s">
        <v>28</v>
      </c>
      <c r="E25" t="s">
        <v>78</v>
      </c>
      <c r="F25" t="s">
        <v>157</v>
      </c>
      <c r="G25" t="s">
        <v>124</v>
      </c>
      <c r="H25" t="s">
        <v>46</v>
      </c>
      <c r="I25" t="s">
        <v>58</v>
      </c>
      <c r="J25" t="s">
        <v>47</v>
      </c>
      <c r="K25" t="s">
        <v>48</v>
      </c>
      <c r="L25" t="s">
        <v>49</v>
      </c>
      <c r="M25">
        <v>3</v>
      </c>
      <c r="N25">
        <v>8682</v>
      </c>
      <c r="O25" s="2">
        <v>0</v>
      </c>
      <c r="P25" s="2">
        <v>26046</v>
      </c>
      <c r="Q25" s="2">
        <v>20833.32</v>
      </c>
      <c r="R25" s="2">
        <v>5212.68</v>
      </c>
      <c r="S25" t="s">
        <v>37</v>
      </c>
      <c r="T25">
        <v>5</v>
      </c>
      <c r="U25" t="s">
        <v>51</v>
      </c>
      <c r="V25" t="s">
        <v>52</v>
      </c>
      <c r="W25" s="3">
        <f>Table1[[#This Row],[Profit]]/Table1[[#This Row],[Sales]]</f>
        <v>0.20013360976733471</v>
      </c>
      <c r="X25" t="str">
        <f>IF(Table1[[#This Row],[Sales]]&gt;=30000,"High Value",IF(Table1[[#This Row],[Sales]]&gt;=15000,"Medium Value","Low Value"))</f>
        <v>Medium Value</v>
      </c>
      <c r="Y25" t="str">
        <f>IF(Table1[[#This Row],[Quantity]]&gt;=3,"Bulk Order","Regular Order")</f>
        <v>Bulk Order</v>
      </c>
      <c r="Z25" t="str">
        <f>TEXT(Table1[[#This Row],[Order Date]],"dddd")</f>
        <v>Tuesday</v>
      </c>
    </row>
    <row r="26" spans="1:26" ht="14.4" x14ac:dyDescent="0.3">
      <c r="A26" t="s">
        <v>158</v>
      </c>
      <c r="B26" t="s">
        <v>159</v>
      </c>
      <c r="C26" s="2">
        <v>46148</v>
      </c>
      <c r="D26" t="s">
        <v>28</v>
      </c>
      <c r="E26" t="s">
        <v>102</v>
      </c>
      <c r="F26" t="s">
        <v>160</v>
      </c>
      <c r="G26" t="s">
        <v>161</v>
      </c>
      <c r="H26" t="s">
        <v>32</v>
      </c>
      <c r="I26" t="s">
        <v>33</v>
      </c>
      <c r="J26" t="s">
        <v>59</v>
      </c>
      <c r="K26" t="s">
        <v>95</v>
      </c>
      <c r="L26" t="s">
        <v>36</v>
      </c>
      <c r="M26">
        <v>1</v>
      </c>
      <c r="N26">
        <v>15484</v>
      </c>
      <c r="O26" s="2">
        <v>10</v>
      </c>
      <c r="P26" s="2">
        <v>13935.6</v>
      </c>
      <c r="Q26" s="2">
        <v>11029.35</v>
      </c>
      <c r="R26" s="2">
        <v>2906.25</v>
      </c>
      <c r="S26" t="s">
        <v>81</v>
      </c>
      <c r="T26">
        <v>3</v>
      </c>
      <c r="U26" t="s">
        <v>38</v>
      </c>
      <c r="V26" t="s">
        <v>116</v>
      </c>
      <c r="W26" s="3">
        <f>Table1[[#This Row],[Profit]]/Table1[[#This Row],[Sales]]</f>
        <v>0.20854860931714458</v>
      </c>
      <c r="X26" t="str">
        <f>IF(Table1[[#This Row],[Sales]]&gt;=30000,"High Value",IF(Table1[[#This Row],[Sales]]&gt;=15000,"Medium Value","Low Value"))</f>
        <v>Low Value</v>
      </c>
      <c r="Y26" t="str">
        <f>IF(Table1[[#This Row],[Quantity]]&gt;=3,"Bulk Order","Regular Order")</f>
        <v>Regular Order</v>
      </c>
      <c r="Z26" t="str">
        <f>TEXT(Table1[[#This Row],[Order Date]],"dddd")</f>
        <v>Wednesday</v>
      </c>
    </row>
    <row r="27" spans="1:26" ht="14.4" x14ac:dyDescent="0.3">
      <c r="A27" t="s">
        <v>162</v>
      </c>
      <c r="B27" t="s">
        <v>163</v>
      </c>
      <c r="C27" s="2">
        <v>46177</v>
      </c>
      <c r="D27" t="s">
        <v>42</v>
      </c>
      <c r="E27" t="s">
        <v>133</v>
      </c>
      <c r="F27" t="s">
        <v>164</v>
      </c>
      <c r="G27" t="s">
        <v>57</v>
      </c>
      <c r="H27" t="s">
        <v>46</v>
      </c>
      <c r="I27" t="s">
        <v>33</v>
      </c>
      <c r="J27" t="s">
        <v>59</v>
      </c>
      <c r="K27" t="s">
        <v>60</v>
      </c>
      <c r="L27" t="s">
        <v>61</v>
      </c>
      <c r="M27">
        <v>2</v>
      </c>
      <c r="N27">
        <v>17817</v>
      </c>
      <c r="O27" s="2">
        <v>15</v>
      </c>
      <c r="P27" s="2">
        <v>30288.9</v>
      </c>
      <c r="Q27" s="2">
        <v>23872.44</v>
      </c>
      <c r="R27" s="2">
        <v>6416.46</v>
      </c>
      <c r="S27" t="s">
        <v>37</v>
      </c>
      <c r="T27">
        <v>5</v>
      </c>
      <c r="U27" t="s">
        <v>51</v>
      </c>
      <c r="V27" t="s">
        <v>63</v>
      </c>
      <c r="W27" s="3">
        <f>Table1[[#This Row],[Profit]]/Table1[[#This Row],[Sales]]</f>
        <v>0.21184196190683716</v>
      </c>
      <c r="X27" t="str">
        <f>IF(Table1[[#This Row],[Sales]]&gt;=30000,"High Value",IF(Table1[[#This Row],[Sales]]&gt;=15000,"Medium Value","Low Value"))</f>
        <v>High Value</v>
      </c>
      <c r="Y27" t="str">
        <f>IF(Table1[[#This Row],[Quantity]]&gt;=3,"Bulk Order","Regular Order")</f>
        <v>Regular Order</v>
      </c>
      <c r="Z27" t="str">
        <f>TEXT(Table1[[#This Row],[Order Date]],"dddd")</f>
        <v>Thursday</v>
      </c>
    </row>
    <row r="28" spans="1:26" ht="14.4" x14ac:dyDescent="0.3">
      <c r="A28" t="s">
        <v>165</v>
      </c>
      <c r="B28" t="s">
        <v>166</v>
      </c>
      <c r="C28" s="2">
        <v>46192</v>
      </c>
      <c r="D28" t="s">
        <v>42</v>
      </c>
      <c r="E28" t="s">
        <v>55</v>
      </c>
      <c r="F28" t="s">
        <v>167</v>
      </c>
      <c r="G28" t="s">
        <v>168</v>
      </c>
      <c r="H28" t="s">
        <v>32</v>
      </c>
      <c r="I28" t="s">
        <v>33</v>
      </c>
      <c r="J28" t="s">
        <v>169</v>
      </c>
      <c r="K28" t="s">
        <v>170</v>
      </c>
      <c r="L28" t="s">
        <v>171</v>
      </c>
      <c r="M28">
        <v>1</v>
      </c>
      <c r="N28">
        <v>9523</v>
      </c>
      <c r="O28" s="2">
        <v>5</v>
      </c>
      <c r="P28" s="2">
        <v>9046.85</v>
      </c>
      <c r="Q28" s="2">
        <v>7218.35</v>
      </c>
      <c r="R28" s="2">
        <v>1828.5</v>
      </c>
      <c r="S28" t="s">
        <v>50</v>
      </c>
      <c r="T28">
        <v>5</v>
      </c>
      <c r="U28" t="s">
        <v>51</v>
      </c>
      <c r="V28" t="s">
        <v>39</v>
      </c>
      <c r="W28" s="3">
        <f>Table1[[#This Row],[Profit]]/Table1[[#This Row],[Sales]]</f>
        <v>0.20211454815764601</v>
      </c>
      <c r="X28" t="str">
        <f>IF(Table1[[#This Row],[Sales]]&gt;=30000,"High Value",IF(Table1[[#This Row],[Sales]]&gt;=15000,"Medium Value","Low Value"))</f>
        <v>Low Value</v>
      </c>
      <c r="Y28" t="str">
        <f>IF(Table1[[#This Row],[Quantity]]&gt;=3,"Bulk Order","Regular Order")</f>
        <v>Regular Order</v>
      </c>
      <c r="Z28" t="str">
        <f>TEXT(Table1[[#This Row],[Order Date]],"dddd")</f>
        <v>Friday</v>
      </c>
    </row>
    <row r="29" spans="1:26" ht="14.4" x14ac:dyDescent="0.3">
      <c r="A29" t="s">
        <v>172</v>
      </c>
      <c r="B29" t="s">
        <v>173</v>
      </c>
      <c r="C29" s="2">
        <v>46157</v>
      </c>
      <c r="D29" t="s">
        <v>28</v>
      </c>
      <c r="E29" t="s">
        <v>43</v>
      </c>
      <c r="F29" t="s">
        <v>174</v>
      </c>
      <c r="G29" t="s">
        <v>175</v>
      </c>
      <c r="H29" t="s">
        <v>32</v>
      </c>
      <c r="I29" t="s">
        <v>33</v>
      </c>
      <c r="J29" t="s">
        <v>59</v>
      </c>
      <c r="K29" t="s">
        <v>95</v>
      </c>
      <c r="L29" t="s">
        <v>36</v>
      </c>
      <c r="M29">
        <v>2</v>
      </c>
      <c r="N29">
        <v>16070</v>
      </c>
      <c r="O29" s="2">
        <v>5</v>
      </c>
      <c r="P29" s="2">
        <v>30533</v>
      </c>
      <c r="Q29" s="2">
        <v>23963.43</v>
      </c>
      <c r="R29" s="2">
        <v>6569.57</v>
      </c>
      <c r="S29" t="s">
        <v>81</v>
      </c>
      <c r="T29">
        <v>5</v>
      </c>
      <c r="U29" t="s">
        <v>51</v>
      </c>
      <c r="V29" t="s">
        <v>39</v>
      </c>
      <c r="W29" s="3">
        <f>Table1[[#This Row],[Profit]]/Table1[[#This Row],[Sales]]</f>
        <v>0.21516293846002685</v>
      </c>
      <c r="X29" t="str">
        <f>IF(Table1[[#This Row],[Sales]]&gt;=30000,"High Value",IF(Table1[[#This Row],[Sales]]&gt;=15000,"Medium Value","Low Value"))</f>
        <v>High Value</v>
      </c>
      <c r="Y29" t="str">
        <f>IF(Table1[[#This Row],[Quantity]]&gt;=3,"Bulk Order","Regular Order")</f>
        <v>Regular Order</v>
      </c>
      <c r="Z29" t="str">
        <f>TEXT(Table1[[#This Row],[Order Date]],"dddd")</f>
        <v>Friday</v>
      </c>
    </row>
    <row r="30" spans="1:26" ht="14.4" x14ac:dyDescent="0.3">
      <c r="A30" t="s">
        <v>176</v>
      </c>
      <c r="B30" t="s">
        <v>177</v>
      </c>
      <c r="C30" s="2">
        <v>46201</v>
      </c>
      <c r="D30" t="s">
        <v>42</v>
      </c>
      <c r="E30" t="s">
        <v>55</v>
      </c>
      <c r="F30" t="s">
        <v>178</v>
      </c>
      <c r="G30" t="s">
        <v>99</v>
      </c>
      <c r="H30" t="s">
        <v>46</v>
      </c>
      <c r="I30" t="s">
        <v>33</v>
      </c>
      <c r="J30" t="s">
        <v>59</v>
      </c>
      <c r="K30" t="s">
        <v>95</v>
      </c>
      <c r="L30" t="s">
        <v>36</v>
      </c>
      <c r="M30">
        <v>1</v>
      </c>
      <c r="N30">
        <v>16307</v>
      </c>
      <c r="O30" s="2">
        <v>10</v>
      </c>
      <c r="P30" s="2">
        <v>14676.3</v>
      </c>
      <c r="Q30" s="2">
        <v>11651.76</v>
      </c>
      <c r="R30" s="2">
        <v>3024.54</v>
      </c>
      <c r="S30" t="s">
        <v>50</v>
      </c>
      <c r="T30">
        <v>5</v>
      </c>
      <c r="U30" t="s">
        <v>51</v>
      </c>
      <c r="V30" t="s">
        <v>116</v>
      </c>
      <c r="W30" s="3">
        <f>Table1[[#This Row],[Profit]]/Table1[[#This Row],[Sales]]</f>
        <v>0.20608327712025512</v>
      </c>
      <c r="X30" t="str">
        <f>IF(Table1[[#This Row],[Sales]]&gt;=30000,"High Value",IF(Table1[[#This Row],[Sales]]&gt;=15000,"Medium Value","Low Value"))</f>
        <v>Low Value</v>
      </c>
      <c r="Y30" t="str">
        <f>IF(Table1[[#This Row],[Quantity]]&gt;=3,"Bulk Order","Regular Order")</f>
        <v>Regular Order</v>
      </c>
      <c r="Z30" t="str">
        <f>TEXT(Table1[[#This Row],[Order Date]],"dddd")</f>
        <v>Sunday</v>
      </c>
    </row>
    <row r="31" spans="1:26" ht="14.4" x14ac:dyDescent="0.3">
      <c r="A31" t="s">
        <v>179</v>
      </c>
      <c r="B31" t="s">
        <v>180</v>
      </c>
      <c r="C31" s="2">
        <v>46197</v>
      </c>
      <c r="D31" t="s">
        <v>42</v>
      </c>
      <c r="E31" t="s">
        <v>55</v>
      </c>
      <c r="F31" t="s">
        <v>181</v>
      </c>
      <c r="G31" t="s">
        <v>182</v>
      </c>
      <c r="H31" t="s">
        <v>46</v>
      </c>
      <c r="I31" t="s">
        <v>33</v>
      </c>
      <c r="J31" t="s">
        <v>59</v>
      </c>
      <c r="K31" t="s">
        <v>60</v>
      </c>
      <c r="L31" t="s">
        <v>61</v>
      </c>
      <c r="M31">
        <v>2</v>
      </c>
      <c r="N31">
        <v>15604</v>
      </c>
      <c r="O31" s="2">
        <v>0</v>
      </c>
      <c r="P31" s="2">
        <v>31208</v>
      </c>
      <c r="Q31" s="2">
        <v>25299.7</v>
      </c>
      <c r="R31" s="2">
        <v>5908.3</v>
      </c>
      <c r="S31" t="s">
        <v>37</v>
      </c>
      <c r="T31">
        <v>5</v>
      </c>
      <c r="U31" t="s">
        <v>51</v>
      </c>
      <c r="V31" t="s">
        <v>86</v>
      </c>
      <c r="W31" s="3">
        <f>Table1[[#This Row],[Profit]]/Table1[[#This Row],[Sales]]</f>
        <v>0.18932004614201486</v>
      </c>
      <c r="X31" t="str">
        <f>IF(Table1[[#This Row],[Sales]]&gt;=30000,"High Value",IF(Table1[[#This Row],[Sales]]&gt;=15000,"Medium Value","Low Value"))</f>
        <v>High Value</v>
      </c>
      <c r="Y31" t="str">
        <f>IF(Table1[[#This Row],[Quantity]]&gt;=3,"Bulk Order","Regular Order")</f>
        <v>Regular Order</v>
      </c>
      <c r="Z31" t="str">
        <f>TEXT(Table1[[#This Row],[Order Date]],"dddd")</f>
        <v>Wednesday</v>
      </c>
    </row>
    <row r="32" spans="1:26" ht="14.4" x14ac:dyDescent="0.3">
      <c r="A32" t="s">
        <v>183</v>
      </c>
      <c r="B32" t="s">
        <v>184</v>
      </c>
      <c r="C32" s="2">
        <v>46181</v>
      </c>
      <c r="D32" t="s">
        <v>42</v>
      </c>
      <c r="E32" t="s">
        <v>133</v>
      </c>
      <c r="F32" t="s">
        <v>185</v>
      </c>
      <c r="G32" t="s">
        <v>186</v>
      </c>
      <c r="H32" t="s">
        <v>32</v>
      </c>
      <c r="I32" t="s">
        <v>33</v>
      </c>
      <c r="J32" t="s">
        <v>149</v>
      </c>
      <c r="K32" t="s">
        <v>150</v>
      </c>
      <c r="L32" t="s">
        <v>151</v>
      </c>
      <c r="M32">
        <v>1</v>
      </c>
      <c r="N32">
        <v>4099</v>
      </c>
      <c r="O32" s="2">
        <v>0</v>
      </c>
      <c r="P32" s="2">
        <v>4099</v>
      </c>
      <c r="Q32" s="2">
        <v>2941.8</v>
      </c>
      <c r="R32" s="2">
        <v>1157.2</v>
      </c>
      <c r="S32" t="s">
        <v>50</v>
      </c>
      <c r="T32">
        <v>3</v>
      </c>
      <c r="U32" t="s">
        <v>51</v>
      </c>
      <c r="V32" t="s">
        <v>116</v>
      </c>
      <c r="W32" s="3">
        <f>Table1[[#This Row],[Profit]]/Table1[[#This Row],[Sales]]</f>
        <v>0.28231275920956334</v>
      </c>
      <c r="X32" t="str">
        <f>IF(Table1[[#This Row],[Sales]]&gt;=30000,"High Value",IF(Table1[[#This Row],[Sales]]&gt;=15000,"Medium Value","Low Value"))</f>
        <v>Low Value</v>
      </c>
      <c r="Y32" t="str">
        <f>IF(Table1[[#This Row],[Quantity]]&gt;=3,"Bulk Order","Regular Order")</f>
        <v>Regular Order</v>
      </c>
      <c r="Z32" t="str">
        <f>TEXT(Table1[[#This Row],[Order Date]],"dddd")</f>
        <v>Monday</v>
      </c>
    </row>
    <row r="33" spans="1:26" ht="14.4" x14ac:dyDescent="0.3">
      <c r="A33" t="s">
        <v>187</v>
      </c>
      <c r="B33" t="s">
        <v>188</v>
      </c>
      <c r="C33" s="2">
        <v>46172</v>
      </c>
      <c r="D33" t="s">
        <v>28</v>
      </c>
      <c r="E33" t="s">
        <v>55</v>
      </c>
      <c r="F33" t="s">
        <v>189</v>
      </c>
      <c r="G33" t="s">
        <v>104</v>
      </c>
      <c r="H33" t="s">
        <v>32</v>
      </c>
      <c r="I33" t="s">
        <v>33</v>
      </c>
      <c r="J33" t="s">
        <v>59</v>
      </c>
      <c r="K33" t="s">
        <v>60</v>
      </c>
      <c r="L33" t="s">
        <v>61</v>
      </c>
      <c r="M33">
        <v>1</v>
      </c>
      <c r="N33">
        <v>17886</v>
      </c>
      <c r="O33" s="2">
        <v>5</v>
      </c>
      <c r="P33" s="2">
        <v>16991.7</v>
      </c>
      <c r="Q33" s="2">
        <v>13533.53</v>
      </c>
      <c r="R33" s="2">
        <v>3458.17</v>
      </c>
      <c r="S33" t="s">
        <v>37</v>
      </c>
      <c r="T33">
        <v>5</v>
      </c>
      <c r="U33" t="s">
        <v>51</v>
      </c>
      <c r="V33" t="s">
        <v>116</v>
      </c>
      <c r="W33" s="3">
        <f>Table1[[#This Row],[Profit]]/Table1[[#This Row],[Sales]]</f>
        <v>0.20352113090508894</v>
      </c>
      <c r="X33" t="str">
        <f>IF(Table1[[#This Row],[Sales]]&gt;=30000,"High Value",IF(Table1[[#This Row],[Sales]]&gt;=15000,"Medium Value","Low Value"))</f>
        <v>Medium Value</v>
      </c>
      <c r="Y33" t="str">
        <f>IF(Table1[[#This Row],[Quantity]]&gt;=3,"Bulk Order","Regular Order")</f>
        <v>Regular Order</v>
      </c>
      <c r="Z33" t="str">
        <f>TEXT(Table1[[#This Row],[Order Date]],"dddd")</f>
        <v>Saturday</v>
      </c>
    </row>
    <row r="34" spans="1:26" ht="14.4" x14ac:dyDescent="0.3">
      <c r="A34" t="s">
        <v>190</v>
      </c>
      <c r="B34" t="s">
        <v>191</v>
      </c>
      <c r="C34" s="2">
        <v>46155</v>
      </c>
      <c r="D34" t="s">
        <v>28</v>
      </c>
      <c r="E34" t="s">
        <v>55</v>
      </c>
      <c r="F34" t="s">
        <v>192</v>
      </c>
      <c r="G34" t="s">
        <v>193</v>
      </c>
      <c r="H34" t="s">
        <v>32</v>
      </c>
      <c r="I34" t="s">
        <v>33</v>
      </c>
      <c r="J34" t="s">
        <v>47</v>
      </c>
      <c r="K34" t="s">
        <v>48</v>
      </c>
      <c r="L34" t="s">
        <v>49</v>
      </c>
      <c r="M34">
        <v>1</v>
      </c>
      <c r="N34">
        <v>8965</v>
      </c>
      <c r="O34" s="2">
        <v>10</v>
      </c>
      <c r="P34" s="2">
        <v>8068.5</v>
      </c>
      <c r="Q34" s="2">
        <v>6453.04</v>
      </c>
      <c r="R34" s="2">
        <v>1615.46</v>
      </c>
      <c r="S34" t="s">
        <v>50</v>
      </c>
      <c r="T34">
        <v>4</v>
      </c>
      <c r="U34" t="s">
        <v>38</v>
      </c>
      <c r="V34" t="s">
        <v>52</v>
      </c>
      <c r="W34" s="3">
        <f>Table1[[#This Row],[Profit]]/Table1[[#This Row],[Sales]]</f>
        <v>0.20021813224267213</v>
      </c>
      <c r="X34" t="str">
        <f>IF(Table1[[#This Row],[Sales]]&gt;=30000,"High Value",IF(Table1[[#This Row],[Sales]]&gt;=15000,"Medium Value","Low Value"))</f>
        <v>Low Value</v>
      </c>
      <c r="Y34" t="str">
        <f>IF(Table1[[#This Row],[Quantity]]&gt;=3,"Bulk Order","Regular Order")</f>
        <v>Regular Order</v>
      </c>
      <c r="Z34" t="str">
        <f>TEXT(Table1[[#This Row],[Order Date]],"dddd")</f>
        <v>Wednesday</v>
      </c>
    </row>
    <row r="35" spans="1:26" ht="14.4" x14ac:dyDescent="0.3">
      <c r="A35" t="s">
        <v>194</v>
      </c>
      <c r="B35" t="s">
        <v>195</v>
      </c>
      <c r="C35" s="2">
        <v>46145</v>
      </c>
      <c r="D35" t="s">
        <v>28</v>
      </c>
      <c r="E35" t="s">
        <v>196</v>
      </c>
      <c r="F35" t="s">
        <v>197</v>
      </c>
      <c r="G35" t="s">
        <v>198</v>
      </c>
      <c r="H35" t="s">
        <v>32</v>
      </c>
      <c r="I35" t="s">
        <v>33</v>
      </c>
      <c r="J35" t="s">
        <v>199</v>
      </c>
      <c r="K35" t="s">
        <v>200</v>
      </c>
      <c r="L35" t="s">
        <v>130</v>
      </c>
      <c r="M35">
        <v>1</v>
      </c>
      <c r="N35">
        <v>1265</v>
      </c>
      <c r="O35" s="2">
        <v>5</v>
      </c>
      <c r="P35" s="2">
        <v>1201.75</v>
      </c>
      <c r="Q35" s="2">
        <v>768.74</v>
      </c>
      <c r="R35" s="2">
        <v>433.01</v>
      </c>
      <c r="S35" t="s">
        <v>81</v>
      </c>
      <c r="T35">
        <v>3</v>
      </c>
      <c r="U35" t="s">
        <v>51</v>
      </c>
      <c r="V35" t="s">
        <v>86</v>
      </c>
      <c r="W35" s="3">
        <f>Table1[[#This Row],[Profit]]/Table1[[#This Row],[Sales]]</f>
        <v>0.36031620553359683</v>
      </c>
      <c r="X35" t="str">
        <f>IF(Table1[[#This Row],[Sales]]&gt;=30000,"High Value",IF(Table1[[#This Row],[Sales]]&gt;=15000,"Medium Value","Low Value"))</f>
        <v>Low Value</v>
      </c>
      <c r="Y35" t="str">
        <f>IF(Table1[[#This Row],[Quantity]]&gt;=3,"Bulk Order","Regular Order")</f>
        <v>Regular Order</v>
      </c>
      <c r="Z35" t="str">
        <f>TEXT(Table1[[#This Row],[Order Date]],"dddd")</f>
        <v>Sunday</v>
      </c>
    </row>
    <row r="36" spans="1:26" ht="14.4" x14ac:dyDescent="0.3">
      <c r="A36" t="s">
        <v>201</v>
      </c>
      <c r="B36" t="s">
        <v>202</v>
      </c>
      <c r="C36" s="2">
        <v>46195</v>
      </c>
      <c r="D36" t="s">
        <v>42</v>
      </c>
      <c r="E36" t="s">
        <v>133</v>
      </c>
      <c r="F36" t="s">
        <v>203</v>
      </c>
      <c r="G36" t="s">
        <v>204</v>
      </c>
      <c r="H36" t="s">
        <v>46</v>
      </c>
      <c r="I36" t="s">
        <v>33</v>
      </c>
      <c r="J36" t="s">
        <v>47</v>
      </c>
      <c r="K36" t="s">
        <v>69</v>
      </c>
      <c r="L36" t="s">
        <v>70</v>
      </c>
      <c r="M36">
        <v>1</v>
      </c>
      <c r="N36">
        <v>8726</v>
      </c>
      <c r="O36" s="2">
        <v>15</v>
      </c>
      <c r="P36" s="2">
        <v>7417.1</v>
      </c>
      <c r="Q36" s="2">
        <v>5833.84</v>
      </c>
      <c r="R36" s="2">
        <v>1583.26</v>
      </c>
      <c r="S36" t="s">
        <v>50</v>
      </c>
      <c r="T36">
        <v>5</v>
      </c>
      <c r="U36" t="s">
        <v>51</v>
      </c>
      <c r="V36" t="s">
        <v>116</v>
      </c>
      <c r="W36" s="3">
        <f>Table1[[#This Row],[Profit]]/Table1[[#This Row],[Sales]]</f>
        <v>0.21346078656078521</v>
      </c>
      <c r="X36" t="str">
        <f>IF(Table1[[#This Row],[Sales]]&gt;=30000,"High Value",IF(Table1[[#This Row],[Sales]]&gt;=15000,"Medium Value","Low Value"))</f>
        <v>Low Value</v>
      </c>
      <c r="Y36" t="str">
        <f>IF(Table1[[#This Row],[Quantity]]&gt;=3,"Bulk Order","Regular Order")</f>
        <v>Regular Order</v>
      </c>
      <c r="Z36" t="str">
        <f>TEXT(Table1[[#This Row],[Order Date]],"dddd")</f>
        <v>Monday</v>
      </c>
    </row>
    <row r="37" spans="1:26" ht="14.4" x14ac:dyDescent="0.3">
      <c r="A37" t="s">
        <v>205</v>
      </c>
      <c r="B37" t="s">
        <v>206</v>
      </c>
      <c r="C37" s="2">
        <v>46178</v>
      </c>
      <c r="D37" t="s">
        <v>42</v>
      </c>
      <c r="E37" t="s">
        <v>102</v>
      </c>
      <c r="F37" t="s">
        <v>207</v>
      </c>
      <c r="G37" t="s">
        <v>45</v>
      </c>
      <c r="H37" t="s">
        <v>46</v>
      </c>
      <c r="I37" t="s">
        <v>33</v>
      </c>
      <c r="J37" t="s">
        <v>47</v>
      </c>
      <c r="K37" t="s">
        <v>69</v>
      </c>
      <c r="L37" t="s">
        <v>70</v>
      </c>
      <c r="M37">
        <v>1</v>
      </c>
      <c r="N37">
        <v>8053</v>
      </c>
      <c r="O37" s="2">
        <v>15</v>
      </c>
      <c r="P37" s="2">
        <v>6845.05</v>
      </c>
      <c r="Q37" s="2">
        <v>5467.94</v>
      </c>
      <c r="R37" s="2">
        <v>1377.11</v>
      </c>
      <c r="S37" t="s">
        <v>37</v>
      </c>
      <c r="T37">
        <v>3</v>
      </c>
      <c r="U37" t="s">
        <v>51</v>
      </c>
      <c r="V37" t="s">
        <v>39</v>
      </c>
      <c r="W37" s="3">
        <f>Table1[[#This Row],[Profit]]/Table1[[#This Row],[Sales]]</f>
        <v>0.20118333686386511</v>
      </c>
      <c r="X37" t="str">
        <f>IF(Table1[[#This Row],[Sales]]&gt;=30000,"High Value",IF(Table1[[#This Row],[Sales]]&gt;=15000,"Medium Value","Low Value"))</f>
        <v>Low Value</v>
      </c>
      <c r="Y37" t="str">
        <f>IF(Table1[[#This Row],[Quantity]]&gt;=3,"Bulk Order","Regular Order")</f>
        <v>Regular Order</v>
      </c>
      <c r="Z37" t="str">
        <f>TEXT(Table1[[#This Row],[Order Date]],"dddd")</f>
        <v>Friday</v>
      </c>
    </row>
    <row r="38" spans="1:26" ht="14.4" x14ac:dyDescent="0.3">
      <c r="A38" t="s">
        <v>208</v>
      </c>
      <c r="B38" t="s">
        <v>209</v>
      </c>
      <c r="C38" s="2">
        <v>46154</v>
      </c>
      <c r="D38" t="s">
        <v>28</v>
      </c>
      <c r="E38" t="s">
        <v>43</v>
      </c>
      <c r="F38" t="s">
        <v>210</v>
      </c>
      <c r="G38" t="s">
        <v>211</v>
      </c>
      <c r="H38" t="s">
        <v>32</v>
      </c>
      <c r="I38" t="s">
        <v>33</v>
      </c>
      <c r="J38" t="s">
        <v>59</v>
      </c>
      <c r="K38" t="s">
        <v>95</v>
      </c>
      <c r="L38" t="s">
        <v>36</v>
      </c>
      <c r="M38">
        <v>1</v>
      </c>
      <c r="N38">
        <v>15480</v>
      </c>
      <c r="O38" s="2">
        <v>0</v>
      </c>
      <c r="P38" s="2">
        <v>15480</v>
      </c>
      <c r="Q38" s="2">
        <v>12506.75</v>
      </c>
      <c r="R38" s="2">
        <v>2973.25</v>
      </c>
      <c r="S38" t="s">
        <v>37</v>
      </c>
      <c r="T38">
        <v>5</v>
      </c>
      <c r="U38" t="s">
        <v>51</v>
      </c>
      <c r="V38" t="s">
        <v>86</v>
      </c>
      <c r="W38" s="3">
        <f>Table1[[#This Row],[Profit]]/Table1[[#This Row],[Sales]]</f>
        <v>0.19207041343669251</v>
      </c>
      <c r="X38" t="str">
        <f>IF(Table1[[#This Row],[Sales]]&gt;=30000,"High Value",IF(Table1[[#This Row],[Sales]]&gt;=15000,"Medium Value","Low Value"))</f>
        <v>Medium Value</v>
      </c>
      <c r="Y38" t="str">
        <f>IF(Table1[[#This Row],[Quantity]]&gt;=3,"Bulk Order","Regular Order")</f>
        <v>Regular Order</v>
      </c>
      <c r="Z38" t="str">
        <f>TEXT(Table1[[#This Row],[Order Date]],"dddd")</f>
        <v>Tuesday</v>
      </c>
    </row>
    <row r="39" spans="1:26" ht="14.4" x14ac:dyDescent="0.3">
      <c r="A39" t="s">
        <v>212</v>
      </c>
      <c r="B39" t="s">
        <v>213</v>
      </c>
      <c r="C39" s="2">
        <v>46181</v>
      </c>
      <c r="D39" t="s">
        <v>42</v>
      </c>
      <c r="E39" t="s">
        <v>43</v>
      </c>
      <c r="F39" t="s">
        <v>214</v>
      </c>
      <c r="G39" t="s">
        <v>138</v>
      </c>
      <c r="H39" t="s">
        <v>32</v>
      </c>
      <c r="I39" t="s">
        <v>33</v>
      </c>
      <c r="J39" t="s">
        <v>34</v>
      </c>
      <c r="K39" t="s">
        <v>35</v>
      </c>
      <c r="L39" t="s">
        <v>36</v>
      </c>
      <c r="M39">
        <v>1</v>
      </c>
      <c r="N39">
        <v>12058</v>
      </c>
      <c r="O39" s="2">
        <v>0</v>
      </c>
      <c r="P39" s="2">
        <v>12058</v>
      </c>
      <c r="Q39" s="2">
        <v>9483.44</v>
      </c>
      <c r="R39" s="2">
        <v>2574.56</v>
      </c>
      <c r="S39" t="s">
        <v>50</v>
      </c>
      <c r="T39">
        <v>5</v>
      </c>
      <c r="U39" t="s">
        <v>51</v>
      </c>
      <c r="V39" t="s">
        <v>75</v>
      </c>
      <c r="W39" s="3">
        <f>Table1[[#This Row],[Profit]]/Table1[[#This Row],[Sales]]</f>
        <v>0.21351467905125227</v>
      </c>
      <c r="X39" t="str">
        <f>IF(Table1[[#This Row],[Sales]]&gt;=30000,"High Value",IF(Table1[[#This Row],[Sales]]&gt;=15000,"Medium Value","Low Value"))</f>
        <v>Low Value</v>
      </c>
      <c r="Y39" t="str">
        <f>IF(Table1[[#This Row],[Quantity]]&gt;=3,"Bulk Order","Regular Order")</f>
        <v>Regular Order</v>
      </c>
      <c r="Z39" t="str">
        <f>TEXT(Table1[[#This Row],[Order Date]],"dddd")</f>
        <v>Monday</v>
      </c>
    </row>
    <row r="40" spans="1:26" ht="14.4" x14ac:dyDescent="0.3">
      <c r="A40" t="s">
        <v>215</v>
      </c>
      <c r="B40" t="s">
        <v>216</v>
      </c>
      <c r="C40" s="2">
        <v>46164</v>
      </c>
      <c r="D40" t="s">
        <v>28</v>
      </c>
      <c r="E40" t="s">
        <v>55</v>
      </c>
      <c r="F40" t="s">
        <v>217</v>
      </c>
      <c r="G40" t="s">
        <v>218</v>
      </c>
      <c r="H40" t="s">
        <v>46</v>
      </c>
      <c r="I40" t="s">
        <v>33</v>
      </c>
      <c r="J40" t="s">
        <v>47</v>
      </c>
      <c r="K40" t="s">
        <v>48</v>
      </c>
      <c r="L40" t="s">
        <v>49</v>
      </c>
      <c r="M40">
        <v>1</v>
      </c>
      <c r="N40">
        <v>7810</v>
      </c>
      <c r="O40" s="2">
        <v>0</v>
      </c>
      <c r="P40" s="2">
        <v>7810</v>
      </c>
      <c r="Q40" s="2">
        <v>6109.89</v>
      </c>
      <c r="R40" s="2">
        <v>1700.11</v>
      </c>
      <c r="S40" t="s">
        <v>37</v>
      </c>
      <c r="T40">
        <v>5</v>
      </c>
      <c r="U40" t="s">
        <v>51</v>
      </c>
      <c r="V40" t="s">
        <v>116</v>
      </c>
      <c r="W40" s="3">
        <f>Table1[[#This Row],[Profit]]/Table1[[#This Row],[Sales]]</f>
        <v>0.21768373879641484</v>
      </c>
      <c r="X40" t="str">
        <f>IF(Table1[[#This Row],[Sales]]&gt;=30000,"High Value",IF(Table1[[#This Row],[Sales]]&gt;=15000,"Medium Value","Low Value"))</f>
        <v>Low Value</v>
      </c>
      <c r="Y40" t="str">
        <f>IF(Table1[[#This Row],[Quantity]]&gt;=3,"Bulk Order","Regular Order")</f>
        <v>Regular Order</v>
      </c>
      <c r="Z40" t="str">
        <f>TEXT(Table1[[#This Row],[Order Date]],"dddd")</f>
        <v>Friday</v>
      </c>
    </row>
    <row r="41" spans="1:26" ht="14.4" x14ac:dyDescent="0.3">
      <c r="A41" t="s">
        <v>219</v>
      </c>
      <c r="B41" t="s">
        <v>220</v>
      </c>
      <c r="C41" s="2">
        <v>46145</v>
      </c>
      <c r="D41" t="s">
        <v>28</v>
      </c>
      <c r="E41" t="s">
        <v>55</v>
      </c>
      <c r="F41" t="s">
        <v>221</v>
      </c>
      <c r="G41" t="s">
        <v>45</v>
      </c>
      <c r="H41" t="s">
        <v>46</v>
      </c>
      <c r="I41" t="s">
        <v>33</v>
      </c>
      <c r="J41" t="s">
        <v>47</v>
      </c>
      <c r="K41" t="s">
        <v>48</v>
      </c>
      <c r="L41" t="s">
        <v>49</v>
      </c>
      <c r="M41">
        <v>2</v>
      </c>
      <c r="N41">
        <v>7202</v>
      </c>
      <c r="O41" s="2">
        <v>0</v>
      </c>
      <c r="P41" s="2">
        <v>14404</v>
      </c>
      <c r="Q41" s="2">
        <v>11310.59</v>
      </c>
      <c r="R41" s="2">
        <v>3093.41</v>
      </c>
      <c r="S41" t="s">
        <v>37</v>
      </c>
      <c r="T41">
        <v>3</v>
      </c>
      <c r="U41" t="s">
        <v>51</v>
      </c>
      <c r="V41" t="s">
        <v>39</v>
      </c>
      <c r="W41" s="3">
        <f>Table1[[#This Row],[Profit]]/Table1[[#This Row],[Sales]]</f>
        <v>0.21476048319911134</v>
      </c>
      <c r="X41" t="str">
        <f>IF(Table1[[#This Row],[Sales]]&gt;=30000,"High Value",IF(Table1[[#This Row],[Sales]]&gt;=15000,"Medium Value","Low Value"))</f>
        <v>Low Value</v>
      </c>
      <c r="Y41" t="str">
        <f>IF(Table1[[#This Row],[Quantity]]&gt;=3,"Bulk Order","Regular Order")</f>
        <v>Regular Order</v>
      </c>
      <c r="Z41" t="str">
        <f>TEXT(Table1[[#This Row],[Order Date]],"dddd")</f>
        <v>Sunday</v>
      </c>
    </row>
    <row r="42" spans="1:26" ht="14.4" x14ac:dyDescent="0.3">
      <c r="A42" t="s">
        <v>222</v>
      </c>
      <c r="B42" t="s">
        <v>223</v>
      </c>
      <c r="C42" s="2">
        <v>46183</v>
      </c>
      <c r="D42" t="s">
        <v>42</v>
      </c>
      <c r="E42" t="s">
        <v>78</v>
      </c>
      <c r="F42" t="s">
        <v>224</v>
      </c>
      <c r="G42" t="s">
        <v>225</v>
      </c>
      <c r="H42" t="s">
        <v>32</v>
      </c>
      <c r="I42" t="s">
        <v>33</v>
      </c>
      <c r="J42" t="s">
        <v>169</v>
      </c>
      <c r="K42" t="s">
        <v>170</v>
      </c>
      <c r="L42" t="s">
        <v>171</v>
      </c>
      <c r="M42">
        <v>1</v>
      </c>
      <c r="N42">
        <v>10145</v>
      </c>
      <c r="O42" s="2">
        <v>5</v>
      </c>
      <c r="P42" s="2">
        <v>9637.75</v>
      </c>
      <c r="Q42" s="2">
        <v>7683.2</v>
      </c>
      <c r="R42" s="2">
        <v>1954.55</v>
      </c>
      <c r="S42" t="s">
        <v>81</v>
      </c>
      <c r="T42">
        <v>4</v>
      </c>
      <c r="U42" t="s">
        <v>90</v>
      </c>
      <c r="V42" t="s">
        <v>52</v>
      </c>
      <c r="W42" s="3">
        <f>Table1[[#This Row],[Profit]]/Table1[[#This Row],[Sales]]</f>
        <v>0.20280148374880028</v>
      </c>
      <c r="X42" t="str">
        <f>IF(Table1[[#This Row],[Sales]]&gt;=30000,"High Value",IF(Table1[[#This Row],[Sales]]&gt;=15000,"Medium Value","Low Value"))</f>
        <v>Low Value</v>
      </c>
      <c r="Y42" t="str">
        <f>IF(Table1[[#This Row],[Quantity]]&gt;=3,"Bulk Order","Regular Order")</f>
        <v>Regular Order</v>
      </c>
      <c r="Z42" t="str">
        <f>TEXT(Table1[[#This Row],[Order Date]],"dddd")</f>
        <v>Wednesday</v>
      </c>
    </row>
    <row r="43" spans="1:26" ht="14.4" x14ac:dyDescent="0.3">
      <c r="A43" t="s">
        <v>226</v>
      </c>
      <c r="B43" t="s">
        <v>227</v>
      </c>
      <c r="C43" s="2">
        <v>46159</v>
      </c>
      <c r="D43" t="s">
        <v>28</v>
      </c>
      <c r="E43" t="s">
        <v>55</v>
      </c>
      <c r="F43" t="s">
        <v>228</v>
      </c>
      <c r="G43" t="s">
        <v>229</v>
      </c>
      <c r="H43" t="s">
        <v>32</v>
      </c>
      <c r="I43" t="s">
        <v>33</v>
      </c>
      <c r="J43" t="s">
        <v>47</v>
      </c>
      <c r="K43" t="s">
        <v>69</v>
      </c>
      <c r="L43" t="s">
        <v>70</v>
      </c>
      <c r="M43">
        <v>2</v>
      </c>
      <c r="N43">
        <v>8978</v>
      </c>
      <c r="O43" s="2">
        <v>0</v>
      </c>
      <c r="P43" s="2">
        <v>17956</v>
      </c>
      <c r="Q43" s="2">
        <v>14009.62</v>
      </c>
      <c r="R43" s="2">
        <v>3946.38</v>
      </c>
      <c r="S43" t="s">
        <v>81</v>
      </c>
      <c r="T43">
        <v>5</v>
      </c>
      <c r="U43" t="s">
        <v>90</v>
      </c>
      <c r="V43" t="s">
        <v>116</v>
      </c>
      <c r="W43" s="3">
        <f>Table1[[#This Row],[Profit]]/Table1[[#This Row],[Sales]]</f>
        <v>0.21978057473824905</v>
      </c>
      <c r="X43" t="str">
        <f>IF(Table1[[#This Row],[Sales]]&gt;=30000,"High Value",IF(Table1[[#This Row],[Sales]]&gt;=15000,"Medium Value","Low Value"))</f>
        <v>Medium Value</v>
      </c>
      <c r="Y43" t="str">
        <f>IF(Table1[[#This Row],[Quantity]]&gt;=3,"Bulk Order","Regular Order")</f>
        <v>Regular Order</v>
      </c>
      <c r="Z43" t="str">
        <f>TEXT(Table1[[#This Row],[Order Date]],"dddd")</f>
        <v>Sunday</v>
      </c>
    </row>
    <row r="44" spans="1:26" ht="14.4" x14ac:dyDescent="0.3">
      <c r="A44" t="s">
        <v>230</v>
      </c>
      <c r="B44" t="s">
        <v>231</v>
      </c>
      <c r="C44" s="2">
        <v>46181</v>
      </c>
      <c r="D44" t="s">
        <v>42</v>
      </c>
      <c r="E44" t="s">
        <v>133</v>
      </c>
      <c r="F44" t="s">
        <v>232</v>
      </c>
      <c r="G44" t="s">
        <v>211</v>
      </c>
      <c r="H44" t="s">
        <v>32</v>
      </c>
      <c r="I44" t="s">
        <v>33</v>
      </c>
      <c r="J44" t="s">
        <v>59</v>
      </c>
      <c r="K44" t="s">
        <v>60</v>
      </c>
      <c r="L44" t="s">
        <v>61</v>
      </c>
      <c r="M44">
        <v>1</v>
      </c>
      <c r="N44">
        <v>16869</v>
      </c>
      <c r="O44" s="2">
        <v>10</v>
      </c>
      <c r="P44" s="2">
        <v>15182.1</v>
      </c>
      <c r="Q44" s="2">
        <v>12347.04</v>
      </c>
      <c r="R44" s="2">
        <v>2835.06</v>
      </c>
      <c r="S44" t="s">
        <v>81</v>
      </c>
      <c r="T44">
        <v>5</v>
      </c>
      <c r="U44" t="s">
        <v>51</v>
      </c>
      <c r="V44" t="s">
        <v>86</v>
      </c>
      <c r="W44" s="3">
        <f>Table1[[#This Row],[Profit]]/Table1[[#This Row],[Sales]]</f>
        <v>0.18673701266623194</v>
      </c>
      <c r="X44" t="str">
        <f>IF(Table1[[#This Row],[Sales]]&gt;=30000,"High Value",IF(Table1[[#This Row],[Sales]]&gt;=15000,"Medium Value","Low Value"))</f>
        <v>Medium Value</v>
      </c>
      <c r="Y44" t="str">
        <f>IF(Table1[[#This Row],[Quantity]]&gt;=3,"Bulk Order","Regular Order")</f>
        <v>Regular Order</v>
      </c>
      <c r="Z44" t="str">
        <f>TEXT(Table1[[#This Row],[Order Date]],"dddd")</f>
        <v>Monday</v>
      </c>
    </row>
    <row r="45" spans="1:26" ht="14.4" x14ac:dyDescent="0.3">
      <c r="A45" t="s">
        <v>233</v>
      </c>
      <c r="B45" t="s">
        <v>234</v>
      </c>
      <c r="C45" s="2">
        <v>46181</v>
      </c>
      <c r="D45" t="s">
        <v>42</v>
      </c>
      <c r="E45" t="s">
        <v>29</v>
      </c>
      <c r="F45" t="s">
        <v>123</v>
      </c>
      <c r="G45" t="s">
        <v>235</v>
      </c>
      <c r="H45" t="s">
        <v>46</v>
      </c>
      <c r="I45" t="s">
        <v>58</v>
      </c>
      <c r="J45" t="s">
        <v>149</v>
      </c>
      <c r="K45" t="s">
        <v>150</v>
      </c>
      <c r="L45" t="s">
        <v>151</v>
      </c>
      <c r="M45">
        <v>4</v>
      </c>
      <c r="N45">
        <v>3294</v>
      </c>
      <c r="O45" s="2">
        <v>0</v>
      </c>
      <c r="P45" s="2">
        <v>13176</v>
      </c>
      <c r="Q45" s="2">
        <v>9819.5499999999993</v>
      </c>
      <c r="R45" s="2">
        <v>3356.45</v>
      </c>
      <c r="S45" t="s">
        <v>37</v>
      </c>
      <c r="T45">
        <v>5</v>
      </c>
      <c r="U45" t="s">
        <v>51</v>
      </c>
      <c r="V45" t="s">
        <v>52</v>
      </c>
      <c r="W45" s="3">
        <f>Table1[[#This Row],[Profit]]/Table1[[#This Row],[Sales]]</f>
        <v>0.25473967820279292</v>
      </c>
      <c r="X45" t="str">
        <f>IF(Table1[[#This Row],[Sales]]&gt;=30000,"High Value",IF(Table1[[#This Row],[Sales]]&gt;=15000,"Medium Value","Low Value"))</f>
        <v>Low Value</v>
      </c>
      <c r="Y45" t="str">
        <f>IF(Table1[[#This Row],[Quantity]]&gt;=3,"Bulk Order","Regular Order")</f>
        <v>Bulk Order</v>
      </c>
      <c r="Z45" t="str">
        <f>TEXT(Table1[[#This Row],[Order Date]],"dddd")</f>
        <v>Monday</v>
      </c>
    </row>
    <row r="46" spans="1:26" ht="14.4" x14ac:dyDescent="0.3">
      <c r="A46" t="s">
        <v>236</v>
      </c>
      <c r="B46" t="s">
        <v>237</v>
      </c>
      <c r="C46" s="2">
        <v>46145</v>
      </c>
      <c r="D46" t="s">
        <v>28</v>
      </c>
      <c r="E46" t="s">
        <v>55</v>
      </c>
      <c r="F46" t="s">
        <v>238</v>
      </c>
      <c r="G46" t="s">
        <v>239</v>
      </c>
      <c r="H46" t="s">
        <v>46</v>
      </c>
      <c r="I46" t="s">
        <v>33</v>
      </c>
      <c r="J46" t="s">
        <v>47</v>
      </c>
      <c r="K46" t="s">
        <v>48</v>
      </c>
      <c r="L46" t="s">
        <v>49</v>
      </c>
      <c r="M46">
        <v>2</v>
      </c>
      <c r="N46">
        <v>7847</v>
      </c>
      <c r="O46" s="2">
        <v>15</v>
      </c>
      <c r="P46" s="2">
        <v>13339.9</v>
      </c>
      <c r="Q46" s="2">
        <v>10517.43</v>
      </c>
      <c r="R46" s="2">
        <v>2822.47</v>
      </c>
      <c r="S46" t="s">
        <v>81</v>
      </c>
      <c r="T46">
        <v>4</v>
      </c>
      <c r="U46" t="s">
        <v>51</v>
      </c>
      <c r="V46" t="s">
        <v>63</v>
      </c>
      <c r="W46" s="3">
        <f>Table1[[#This Row],[Profit]]/Table1[[#This Row],[Sales]]</f>
        <v>0.21158104633468017</v>
      </c>
      <c r="X46" t="str">
        <f>IF(Table1[[#This Row],[Sales]]&gt;=30000,"High Value",IF(Table1[[#This Row],[Sales]]&gt;=15000,"Medium Value","Low Value"))</f>
        <v>Low Value</v>
      </c>
      <c r="Y46" t="str">
        <f>IF(Table1[[#This Row],[Quantity]]&gt;=3,"Bulk Order","Regular Order")</f>
        <v>Regular Order</v>
      </c>
      <c r="Z46" t="str">
        <f>TEXT(Table1[[#This Row],[Order Date]],"dddd")</f>
        <v>Sunday</v>
      </c>
    </row>
    <row r="47" spans="1:26" ht="14.4" x14ac:dyDescent="0.3">
      <c r="A47" t="s">
        <v>240</v>
      </c>
      <c r="B47" t="s">
        <v>241</v>
      </c>
      <c r="C47" s="2">
        <v>46192</v>
      </c>
      <c r="D47" t="s">
        <v>42</v>
      </c>
      <c r="E47" t="s">
        <v>133</v>
      </c>
      <c r="F47" t="s">
        <v>242</v>
      </c>
      <c r="G47" t="s">
        <v>138</v>
      </c>
      <c r="H47" t="s">
        <v>32</v>
      </c>
      <c r="I47" t="s">
        <v>33</v>
      </c>
      <c r="J47" t="s">
        <v>59</v>
      </c>
      <c r="K47" t="s">
        <v>95</v>
      </c>
      <c r="L47" t="s">
        <v>36</v>
      </c>
      <c r="M47">
        <v>1</v>
      </c>
      <c r="N47">
        <v>14668</v>
      </c>
      <c r="O47" s="2">
        <v>10</v>
      </c>
      <c r="P47" s="2">
        <v>13201.2</v>
      </c>
      <c r="Q47" s="2">
        <v>10695.19</v>
      </c>
      <c r="R47" s="2">
        <v>2506.0100000000002</v>
      </c>
      <c r="S47" t="s">
        <v>37</v>
      </c>
      <c r="T47">
        <v>5</v>
      </c>
      <c r="U47" t="s">
        <v>51</v>
      </c>
      <c r="V47" t="s">
        <v>86</v>
      </c>
      <c r="W47" s="3">
        <f>Table1[[#This Row],[Profit]]/Table1[[#This Row],[Sales]]</f>
        <v>0.18983198497106324</v>
      </c>
      <c r="X47" t="str">
        <f>IF(Table1[[#This Row],[Sales]]&gt;=30000,"High Value",IF(Table1[[#This Row],[Sales]]&gt;=15000,"Medium Value","Low Value"))</f>
        <v>Low Value</v>
      </c>
      <c r="Y47" t="str">
        <f>IF(Table1[[#This Row],[Quantity]]&gt;=3,"Bulk Order","Regular Order")</f>
        <v>Regular Order</v>
      </c>
      <c r="Z47" t="str">
        <f>TEXT(Table1[[#This Row],[Order Date]],"dddd")</f>
        <v>Friday</v>
      </c>
    </row>
    <row r="48" spans="1:26" ht="14.4" x14ac:dyDescent="0.3">
      <c r="A48" t="s">
        <v>243</v>
      </c>
      <c r="B48" t="s">
        <v>244</v>
      </c>
      <c r="C48" s="2">
        <v>46181</v>
      </c>
      <c r="D48" t="s">
        <v>42</v>
      </c>
      <c r="E48" t="s">
        <v>78</v>
      </c>
      <c r="F48" t="s">
        <v>93</v>
      </c>
      <c r="G48" t="s">
        <v>245</v>
      </c>
      <c r="H48" t="s">
        <v>46</v>
      </c>
      <c r="I48" t="s">
        <v>33</v>
      </c>
      <c r="J48" t="s">
        <v>47</v>
      </c>
      <c r="K48" t="s">
        <v>48</v>
      </c>
      <c r="L48" t="s">
        <v>49</v>
      </c>
      <c r="M48">
        <v>1</v>
      </c>
      <c r="N48">
        <v>7735</v>
      </c>
      <c r="O48" s="2">
        <v>5</v>
      </c>
      <c r="P48" s="2">
        <v>7348.25</v>
      </c>
      <c r="Q48" s="2">
        <v>5778.98</v>
      </c>
      <c r="R48" s="2">
        <v>1569.27</v>
      </c>
      <c r="S48" t="s">
        <v>62</v>
      </c>
      <c r="T48">
        <v>4</v>
      </c>
      <c r="U48" t="s">
        <v>51</v>
      </c>
      <c r="V48" t="s">
        <v>39</v>
      </c>
      <c r="W48" s="3">
        <f>Table1[[#This Row],[Profit]]/Table1[[#This Row],[Sales]]</f>
        <v>0.21355696934644303</v>
      </c>
      <c r="X48" t="str">
        <f>IF(Table1[[#This Row],[Sales]]&gt;=30000,"High Value",IF(Table1[[#This Row],[Sales]]&gt;=15000,"Medium Value","Low Value"))</f>
        <v>Low Value</v>
      </c>
      <c r="Y48" t="str">
        <f>IF(Table1[[#This Row],[Quantity]]&gt;=3,"Bulk Order","Regular Order")</f>
        <v>Regular Order</v>
      </c>
      <c r="Z48" t="str">
        <f>TEXT(Table1[[#This Row],[Order Date]],"dddd")</f>
        <v>Monday</v>
      </c>
    </row>
    <row r="49" spans="1:26" ht="14.4" x14ac:dyDescent="0.3">
      <c r="A49" t="s">
        <v>246</v>
      </c>
      <c r="B49" t="s">
        <v>247</v>
      </c>
      <c r="C49" s="2">
        <v>46147</v>
      </c>
      <c r="D49" t="s">
        <v>28</v>
      </c>
      <c r="E49" t="s">
        <v>133</v>
      </c>
      <c r="F49" t="s">
        <v>248</v>
      </c>
      <c r="G49" t="s">
        <v>249</v>
      </c>
      <c r="H49" t="s">
        <v>32</v>
      </c>
      <c r="I49" t="s">
        <v>58</v>
      </c>
      <c r="J49" t="s">
        <v>47</v>
      </c>
      <c r="K49" t="s">
        <v>48</v>
      </c>
      <c r="L49" t="s">
        <v>49</v>
      </c>
      <c r="M49">
        <v>4</v>
      </c>
      <c r="N49">
        <v>8112</v>
      </c>
      <c r="O49" s="2">
        <v>5</v>
      </c>
      <c r="P49" s="2">
        <v>30825.599999999999</v>
      </c>
      <c r="Q49" s="2">
        <v>24770.17</v>
      </c>
      <c r="R49" s="2">
        <v>6055.43</v>
      </c>
      <c r="S49" t="s">
        <v>50</v>
      </c>
      <c r="T49">
        <v>3</v>
      </c>
      <c r="U49" t="s">
        <v>51</v>
      </c>
      <c r="V49" t="s">
        <v>86</v>
      </c>
      <c r="W49" s="3">
        <f>Table1[[#This Row],[Profit]]/Table1[[#This Row],[Sales]]</f>
        <v>0.19644159399979239</v>
      </c>
      <c r="X49" t="str">
        <f>IF(Table1[[#This Row],[Sales]]&gt;=30000,"High Value",IF(Table1[[#This Row],[Sales]]&gt;=15000,"Medium Value","Low Value"))</f>
        <v>High Value</v>
      </c>
      <c r="Y49" t="str">
        <f>IF(Table1[[#This Row],[Quantity]]&gt;=3,"Bulk Order","Regular Order")</f>
        <v>Bulk Order</v>
      </c>
      <c r="Z49" t="str">
        <f>TEXT(Table1[[#This Row],[Order Date]],"dddd")</f>
        <v>Tuesday</v>
      </c>
    </row>
    <row r="50" spans="1:26" ht="14.4" x14ac:dyDescent="0.3">
      <c r="A50" t="s">
        <v>250</v>
      </c>
      <c r="B50" t="s">
        <v>251</v>
      </c>
      <c r="C50" s="2">
        <v>46179</v>
      </c>
      <c r="D50" t="s">
        <v>42</v>
      </c>
      <c r="E50" t="s">
        <v>55</v>
      </c>
      <c r="F50" t="s">
        <v>252</v>
      </c>
      <c r="G50" t="s">
        <v>94</v>
      </c>
      <c r="H50" t="s">
        <v>46</v>
      </c>
      <c r="I50" t="s">
        <v>33</v>
      </c>
      <c r="J50" t="s">
        <v>59</v>
      </c>
      <c r="K50" t="s">
        <v>60</v>
      </c>
      <c r="L50" t="s">
        <v>61</v>
      </c>
      <c r="M50">
        <v>2</v>
      </c>
      <c r="N50">
        <v>15666</v>
      </c>
      <c r="O50" s="2">
        <v>5</v>
      </c>
      <c r="P50" s="2">
        <v>29765.4</v>
      </c>
      <c r="Q50" s="2">
        <v>23460.1</v>
      </c>
      <c r="R50" s="2">
        <v>6305.3</v>
      </c>
      <c r="S50" t="s">
        <v>37</v>
      </c>
      <c r="T50">
        <v>3</v>
      </c>
      <c r="U50" t="s">
        <v>51</v>
      </c>
      <c r="V50" t="s">
        <v>39</v>
      </c>
      <c r="W50" s="3">
        <f>Table1[[#This Row],[Profit]]/Table1[[#This Row],[Sales]]</f>
        <v>0.21183320230872085</v>
      </c>
      <c r="X50" t="str">
        <f>IF(Table1[[#This Row],[Sales]]&gt;=30000,"High Value",IF(Table1[[#This Row],[Sales]]&gt;=15000,"Medium Value","Low Value"))</f>
        <v>Medium Value</v>
      </c>
      <c r="Y50" t="str">
        <f>IF(Table1[[#This Row],[Quantity]]&gt;=3,"Bulk Order","Regular Order")</f>
        <v>Regular Order</v>
      </c>
      <c r="Z50" t="str">
        <f>TEXT(Table1[[#This Row],[Order Date]],"dddd")</f>
        <v>Saturday</v>
      </c>
    </row>
    <row r="51" spans="1:26" ht="14.4" x14ac:dyDescent="0.3">
      <c r="A51" t="s">
        <v>253</v>
      </c>
      <c r="B51" t="s">
        <v>254</v>
      </c>
      <c r="C51" s="2">
        <v>46203</v>
      </c>
      <c r="D51" t="s">
        <v>42</v>
      </c>
      <c r="E51" t="s">
        <v>133</v>
      </c>
      <c r="F51" t="s">
        <v>255</v>
      </c>
      <c r="G51" t="s">
        <v>74</v>
      </c>
      <c r="H51" t="s">
        <v>46</v>
      </c>
      <c r="I51" t="s">
        <v>33</v>
      </c>
      <c r="J51" t="s">
        <v>59</v>
      </c>
      <c r="K51" t="s">
        <v>60</v>
      </c>
      <c r="L51" t="s">
        <v>61</v>
      </c>
      <c r="M51">
        <v>2</v>
      </c>
      <c r="N51">
        <v>16042</v>
      </c>
      <c r="O51" s="2">
        <v>10</v>
      </c>
      <c r="P51" s="2">
        <v>28875.599999999999</v>
      </c>
      <c r="Q51" s="2">
        <v>22649.68</v>
      </c>
      <c r="R51" s="2">
        <v>6225.92</v>
      </c>
      <c r="S51" t="s">
        <v>37</v>
      </c>
      <c r="T51">
        <v>4</v>
      </c>
      <c r="U51" t="s">
        <v>38</v>
      </c>
      <c r="V51" t="s">
        <v>39</v>
      </c>
      <c r="W51" s="3">
        <f>Table1[[#This Row],[Profit]]/Table1[[#This Row],[Sales]]</f>
        <v>0.21561179681114853</v>
      </c>
      <c r="X51" t="str">
        <f>IF(Table1[[#This Row],[Sales]]&gt;=30000,"High Value",IF(Table1[[#This Row],[Sales]]&gt;=15000,"Medium Value","Low Value"))</f>
        <v>Medium Value</v>
      </c>
      <c r="Y51" t="str">
        <f>IF(Table1[[#This Row],[Quantity]]&gt;=3,"Bulk Order","Regular Order")</f>
        <v>Regular Order</v>
      </c>
      <c r="Z51" t="str">
        <f>TEXT(Table1[[#This Row],[Order Date]],"dddd")</f>
        <v>Tuesday</v>
      </c>
    </row>
    <row r="52" spans="1:26" ht="14.4" x14ac:dyDescent="0.3">
      <c r="A52" t="s">
        <v>256</v>
      </c>
      <c r="B52" t="s">
        <v>257</v>
      </c>
      <c r="C52" s="2">
        <v>46160</v>
      </c>
      <c r="D52" t="s">
        <v>28</v>
      </c>
      <c r="E52" t="s">
        <v>43</v>
      </c>
      <c r="F52" t="s">
        <v>123</v>
      </c>
      <c r="G52" t="s">
        <v>239</v>
      </c>
      <c r="H52" t="s">
        <v>46</v>
      </c>
      <c r="I52" t="s">
        <v>58</v>
      </c>
      <c r="J52" t="s">
        <v>59</v>
      </c>
      <c r="K52" t="s">
        <v>95</v>
      </c>
      <c r="L52" t="s">
        <v>36</v>
      </c>
      <c r="M52">
        <v>4</v>
      </c>
      <c r="N52">
        <v>16905</v>
      </c>
      <c r="O52" s="2">
        <v>5</v>
      </c>
      <c r="P52" s="2">
        <v>64239</v>
      </c>
      <c r="Q52" s="2">
        <v>50131.88</v>
      </c>
      <c r="R52" s="2">
        <v>14107.12</v>
      </c>
      <c r="S52" t="s">
        <v>37</v>
      </c>
      <c r="T52">
        <v>5</v>
      </c>
      <c r="U52" t="s">
        <v>51</v>
      </c>
      <c r="V52" t="s">
        <v>63</v>
      </c>
      <c r="W52" s="3">
        <f>Table1[[#This Row],[Profit]]/Table1[[#This Row],[Sales]]</f>
        <v>0.21960366755397812</v>
      </c>
      <c r="X52" t="str">
        <f>IF(Table1[[#This Row],[Sales]]&gt;=30000,"High Value",IF(Table1[[#This Row],[Sales]]&gt;=15000,"Medium Value","Low Value"))</f>
        <v>High Value</v>
      </c>
      <c r="Y52" t="str">
        <f>IF(Table1[[#This Row],[Quantity]]&gt;=3,"Bulk Order","Regular Order")</f>
        <v>Bulk Order</v>
      </c>
      <c r="Z52" t="str">
        <f>TEXT(Table1[[#This Row],[Order Date]],"dddd")</f>
        <v>Monday</v>
      </c>
    </row>
    <row r="53" spans="1:26" ht="14.4" x14ac:dyDescent="0.3">
      <c r="A53" t="s">
        <v>258</v>
      </c>
      <c r="B53" t="s">
        <v>259</v>
      </c>
      <c r="C53" s="2">
        <v>46196</v>
      </c>
      <c r="D53" t="s">
        <v>42</v>
      </c>
      <c r="E53" t="s">
        <v>78</v>
      </c>
      <c r="F53" t="s">
        <v>260</v>
      </c>
      <c r="G53" t="s">
        <v>261</v>
      </c>
      <c r="H53" t="s">
        <v>32</v>
      </c>
      <c r="I53" t="s">
        <v>33</v>
      </c>
      <c r="J53" t="s">
        <v>47</v>
      </c>
      <c r="K53" t="s">
        <v>48</v>
      </c>
      <c r="L53" t="s">
        <v>49</v>
      </c>
      <c r="M53">
        <v>2</v>
      </c>
      <c r="N53">
        <v>7519</v>
      </c>
      <c r="O53" s="2">
        <v>5</v>
      </c>
      <c r="P53" s="2">
        <v>14286.1</v>
      </c>
      <c r="Q53" s="2">
        <v>11545.19</v>
      </c>
      <c r="R53" s="2">
        <v>2740.91</v>
      </c>
      <c r="S53" t="s">
        <v>37</v>
      </c>
      <c r="T53">
        <v>5</v>
      </c>
      <c r="U53" t="s">
        <v>51</v>
      </c>
      <c r="V53" t="s">
        <v>52</v>
      </c>
      <c r="W53" s="3">
        <f>Table1[[#This Row],[Profit]]/Table1[[#This Row],[Sales]]</f>
        <v>0.19185851981996485</v>
      </c>
      <c r="X53" t="str">
        <f>IF(Table1[[#This Row],[Sales]]&gt;=30000,"High Value",IF(Table1[[#This Row],[Sales]]&gt;=15000,"Medium Value","Low Value"))</f>
        <v>Low Value</v>
      </c>
      <c r="Y53" t="str">
        <f>IF(Table1[[#This Row],[Quantity]]&gt;=3,"Bulk Order","Regular Order")</f>
        <v>Regular Order</v>
      </c>
      <c r="Z53" t="str">
        <f>TEXT(Table1[[#This Row],[Order Date]],"dddd")</f>
        <v>Tuesday</v>
      </c>
    </row>
    <row r="54" spans="1:26" ht="14.4" x14ac:dyDescent="0.3">
      <c r="A54" t="s">
        <v>262</v>
      </c>
      <c r="B54" t="s">
        <v>263</v>
      </c>
      <c r="C54" s="2">
        <v>46180</v>
      </c>
      <c r="D54" t="s">
        <v>42</v>
      </c>
      <c r="E54" t="s">
        <v>78</v>
      </c>
      <c r="F54" t="s">
        <v>264</v>
      </c>
      <c r="G54" t="s">
        <v>85</v>
      </c>
      <c r="H54" t="s">
        <v>32</v>
      </c>
      <c r="I54" t="s">
        <v>33</v>
      </c>
      <c r="J54" t="s">
        <v>59</v>
      </c>
      <c r="K54" t="s">
        <v>60</v>
      </c>
      <c r="L54" t="s">
        <v>61</v>
      </c>
      <c r="M54">
        <v>1</v>
      </c>
      <c r="N54">
        <v>17476</v>
      </c>
      <c r="O54" s="2">
        <v>15</v>
      </c>
      <c r="P54" s="2">
        <v>14854.6</v>
      </c>
      <c r="Q54" s="2">
        <v>11603.66</v>
      </c>
      <c r="R54" s="2">
        <v>3250.94</v>
      </c>
      <c r="S54" t="s">
        <v>37</v>
      </c>
      <c r="T54">
        <v>5</v>
      </c>
      <c r="U54" t="s">
        <v>38</v>
      </c>
      <c r="V54" t="s">
        <v>52</v>
      </c>
      <c r="W54" s="3">
        <f>Table1[[#This Row],[Profit]]/Table1[[#This Row],[Sales]]</f>
        <v>0.21885072637432176</v>
      </c>
      <c r="X54" t="str">
        <f>IF(Table1[[#This Row],[Sales]]&gt;=30000,"High Value",IF(Table1[[#This Row],[Sales]]&gt;=15000,"Medium Value","Low Value"))</f>
        <v>Low Value</v>
      </c>
      <c r="Y54" t="str">
        <f>IF(Table1[[#This Row],[Quantity]]&gt;=3,"Bulk Order","Regular Order")</f>
        <v>Regular Order</v>
      </c>
      <c r="Z54" t="str">
        <f>TEXT(Table1[[#This Row],[Order Date]],"dddd")</f>
        <v>Sunday</v>
      </c>
    </row>
    <row r="55" spans="1:26" ht="14.4" x14ac:dyDescent="0.3">
      <c r="A55" t="s">
        <v>265</v>
      </c>
      <c r="B55" t="s">
        <v>266</v>
      </c>
      <c r="C55" s="2">
        <v>46199</v>
      </c>
      <c r="D55" t="s">
        <v>42</v>
      </c>
      <c r="E55" t="s">
        <v>102</v>
      </c>
      <c r="F55" t="s">
        <v>93</v>
      </c>
      <c r="G55" t="s">
        <v>138</v>
      </c>
      <c r="H55" t="s">
        <v>32</v>
      </c>
      <c r="I55" t="s">
        <v>33</v>
      </c>
      <c r="J55" t="s">
        <v>169</v>
      </c>
      <c r="K55" t="s">
        <v>170</v>
      </c>
      <c r="L55" t="s">
        <v>171</v>
      </c>
      <c r="M55">
        <v>1</v>
      </c>
      <c r="N55">
        <v>9344</v>
      </c>
      <c r="O55" s="2">
        <v>10</v>
      </c>
      <c r="P55" s="2">
        <v>8409.6</v>
      </c>
      <c r="Q55" s="2">
        <v>6821.75</v>
      </c>
      <c r="R55" s="2">
        <v>1587.85</v>
      </c>
      <c r="S55" t="s">
        <v>37</v>
      </c>
      <c r="T55">
        <v>4</v>
      </c>
      <c r="U55" t="s">
        <v>51</v>
      </c>
      <c r="V55" t="s">
        <v>52</v>
      </c>
      <c r="W55" s="3">
        <f>Table1[[#This Row],[Profit]]/Table1[[#This Row],[Sales]]</f>
        <v>0.18881397450532722</v>
      </c>
      <c r="X55" t="str">
        <f>IF(Table1[[#This Row],[Sales]]&gt;=30000,"High Value",IF(Table1[[#This Row],[Sales]]&gt;=15000,"Medium Value","Low Value"))</f>
        <v>Low Value</v>
      </c>
      <c r="Y55" t="str">
        <f>IF(Table1[[#This Row],[Quantity]]&gt;=3,"Bulk Order","Regular Order")</f>
        <v>Regular Order</v>
      </c>
      <c r="Z55" t="str">
        <f>TEXT(Table1[[#This Row],[Order Date]],"dddd")</f>
        <v>Friday</v>
      </c>
    </row>
    <row r="56" spans="1:26" ht="14.4" x14ac:dyDescent="0.3">
      <c r="A56" t="s">
        <v>267</v>
      </c>
      <c r="B56" t="s">
        <v>268</v>
      </c>
      <c r="C56" s="2">
        <v>46184</v>
      </c>
      <c r="D56" t="s">
        <v>42</v>
      </c>
      <c r="E56" t="s">
        <v>78</v>
      </c>
      <c r="F56" t="s">
        <v>269</v>
      </c>
      <c r="G56" t="s">
        <v>193</v>
      </c>
      <c r="H56" t="s">
        <v>32</v>
      </c>
      <c r="I56" t="s">
        <v>33</v>
      </c>
      <c r="J56" t="s">
        <v>128</v>
      </c>
      <c r="K56" t="s">
        <v>129</v>
      </c>
      <c r="L56" t="s">
        <v>130</v>
      </c>
      <c r="M56">
        <v>1</v>
      </c>
      <c r="N56">
        <v>1758</v>
      </c>
      <c r="O56" s="2">
        <v>5</v>
      </c>
      <c r="P56" s="2">
        <v>1670.1</v>
      </c>
      <c r="Q56" s="2">
        <v>1031.56</v>
      </c>
      <c r="R56" s="2">
        <v>638.54</v>
      </c>
      <c r="S56" t="s">
        <v>37</v>
      </c>
      <c r="T56">
        <v>5</v>
      </c>
      <c r="U56" t="s">
        <v>51</v>
      </c>
      <c r="V56" t="s">
        <v>86</v>
      </c>
      <c r="W56" s="3">
        <f>Table1[[#This Row],[Profit]]/Table1[[#This Row],[Sales]]</f>
        <v>0.38233638704269207</v>
      </c>
      <c r="X56" t="str">
        <f>IF(Table1[[#This Row],[Sales]]&gt;=30000,"High Value",IF(Table1[[#This Row],[Sales]]&gt;=15000,"Medium Value","Low Value"))</f>
        <v>Low Value</v>
      </c>
      <c r="Y56" t="str">
        <f>IF(Table1[[#This Row],[Quantity]]&gt;=3,"Bulk Order","Regular Order")</f>
        <v>Regular Order</v>
      </c>
      <c r="Z56" t="str">
        <f>TEXT(Table1[[#This Row],[Order Date]],"dddd")</f>
        <v>Thursday</v>
      </c>
    </row>
    <row r="57" spans="1:26" ht="14.4" x14ac:dyDescent="0.3">
      <c r="A57" t="s">
        <v>270</v>
      </c>
      <c r="B57" t="s">
        <v>271</v>
      </c>
      <c r="C57" s="2">
        <v>46202</v>
      </c>
      <c r="D57" t="s">
        <v>42</v>
      </c>
      <c r="E57" t="s">
        <v>66</v>
      </c>
      <c r="F57" t="s">
        <v>255</v>
      </c>
      <c r="G57" t="s">
        <v>120</v>
      </c>
      <c r="H57" t="s">
        <v>46</v>
      </c>
      <c r="I57" t="s">
        <v>33</v>
      </c>
      <c r="J57" t="s">
        <v>47</v>
      </c>
      <c r="K57" t="s">
        <v>48</v>
      </c>
      <c r="L57" t="s">
        <v>49</v>
      </c>
      <c r="M57">
        <v>1</v>
      </c>
      <c r="N57">
        <v>7537</v>
      </c>
      <c r="O57" s="2">
        <v>0</v>
      </c>
      <c r="P57" s="2">
        <v>7537</v>
      </c>
      <c r="Q57" s="2">
        <v>5941.88</v>
      </c>
      <c r="R57" s="2">
        <v>1595.12</v>
      </c>
      <c r="S57" t="s">
        <v>50</v>
      </c>
      <c r="T57">
        <v>5</v>
      </c>
      <c r="U57" t="s">
        <v>51</v>
      </c>
      <c r="V57" t="s">
        <v>75</v>
      </c>
      <c r="W57" s="3">
        <f>Table1[[#This Row],[Profit]]/Table1[[#This Row],[Sales]]</f>
        <v>0.2116385829905798</v>
      </c>
      <c r="X57" t="str">
        <f>IF(Table1[[#This Row],[Sales]]&gt;=30000,"High Value",IF(Table1[[#This Row],[Sales]]&gt;=15000,"Medium Value","Low Value"))</f>
        <v>Low Value</v>
      </c>
      <c r="Y57" t="str">
        <f>IF(Table1[[#This Row],[Quantity]]&gt;=3,"Bulk Order","Regular Order")</f>
        <v>Regular Order</v>
      </c>
      <c r="Z57" t="str">
        <f>TEXT(Table1[[#This Row],[Order Date]],"dddd")</f>
        <v>Monday</v>
      </c>
    </row>
    <row r="58" spans="1:26" ht="14.4" x14ac:dyDescent="0.3">
      <c r="A58" t="s">
        <v>272</v>
      </c>
      <c r="B58" t="s">
        <v>273</v>
      </c>
      <c r="C58" s="2">
        <v>46193</v>
      </c>
      <c r="D58" t="s">
        <v>42</v>
      </c>
      <c r="E58" t="s">
        <v>133</v>
      </c>
      <c r="F58" t="s">
        <v>274</v>
      </c>
      <c r="G58" t="s">
        <v>249</v>
      </c>
      <c r="H58" t="s">
        <v>32</v>
      </c>
      <c r="I58" t="s">
        <v>33</v>
      </c>
      <c r="J58" t="s">
        <v>59</v>
      </c>
      <c r="K58" t="s">
        <v>60</v>
      </c>
      <c r="L58" t="s">
        <v>61</v>
      </c>
      <c r="M58">
        <v>2</v>
      </c>
      <c r="N58">
        <v>17893</v>
      </c>
      <c r="O58" s="2">
        <v>5</v>
      </c>
      <c r="P58" s="2">
        <v>33996.699999999997</v>
      </c>
      <c r="Q58" s="2">
        <v>27626.13</v>
      </c>
      <c r="R58" s="2">
        <v>6370.57</v>
      </c>
      <c r="S58" t="s">
        <v>37</v>
      </c>
      <c r="T58">
        <v>4</v>
      </c>
      <c r="U58" t="s">
        <v>51</v>
      </c>
      <c r="V58" t="s">
        <v>75</v>
      </c>
      <c r="W58" s="3">
        <f>Table1[[#This Row],[Profit]]/Table1[[#This Row],[Sales]]</f>
        <v>0.1873878935308427</v>
      </c>
      <c r="X58" t="str">
        <f>IF(Table1[[#This Row],[Sales]]&gt;=30000,"High Value",IF(Table1[[#This Row],[Sales]]&gt;=15000,"Medium Value","Low Value"))</f>
        <v>High Value</v>
      </c>
      <c r="Y58" t="str">
        <f>IF(Table1[[#This Row],[Quantity]]&gt;=3,"Bulk Order","Regular Order")</f>
        <v>Regular Order</v>
      </c>
      <c r="Z58" t="str">
        <f>TEXT(Table1[[#This Row],[Order Date]],"dddd")</f>
        <v>Saturday</v>
      </c>
    </row>
    <row r="59" spans="1:26" ht="14.4" x14ac:dyDescent="0.3">
      <c r="A59" t="s">
        <v>275</v>
      </c>
      <c r="B59" t="s">
        <v>276</v>
      </c>
      <c r="C59" s="2">
        <v>46197</v>
      </c>
      <c r="D59" t="s">
        <v>42</v>
      </c>
      <c r="E59" t="s">
        <v>29</v>
      </c>
      <c r="F59" t="s">
        <v>277</v>
      </c>
      <c r="G59" t="s">
        <v>94</v>
      </c>
      <c r="H59" t="s">
        <v>46</v>
      </c>
      <c r="I59" t="s">
        <v>33</v>
      </c>
      <c r="J59" t="s">
        <v>59</v>
      </c>
      <c r="K59" t="s">
        <v>60</v>
      </c>
      <c r="L59" t="s">
        <v>61</v>
      </c>
      <c r="M59">
        <v>2</v>
      </c>
      <c r="N59">
        <v>17527</v>
      </c>
      <c r="O59" s="2">
        <v>15</v>
      </c>
      <c r="P59" s="2">
        <v>29795.9</v>
      </c>
      <c r="Q59" s="2">
        <v>24270</v>
      </c>
      <c r="R59" s="2">
        <v>5525.9</v>
      </c>
      <c r="S59" t="s">
        <v>50</v>
      </c>
      <c r="T59">
        <v>3</v>
      </c>
      <c r="U59" t="s">
        <v>51</v>
      </c>
      <c r="V59" t="s">
        <v>63</v>
      </c>
      <c r="W59" s="3">
        <f>Table1[[#This Row],[Profit]]/Table1[[#This Row],[Sales]]</f>
        <v>0.18545840199490532</v>
      </c>
      <c r="X59" t="str">
        <f>IF(Table1[[#This Row],[Sales]]&gt;=30000,"High Value",IF(Table1[[#This Row],[Sales]]&gt;=15000,"Medium Value","Low Value"))</f>
        <v>Medium Value</v>
      </c>
      <c r="Y59" t="str">
        <f>IF(Table1[[#This Row],[Quantity]]&gt;=3,"Bulk Order","Regular Order")</f>
        <v>Regular Order</v>
      </c>
      <c r="Z59" t="str">
        <f>TEXT(Table1[[#This Row],[Order Date]],"dddd")</f>
        <v>Wednesday</v>
      </c>
    </row>
    <row r="60" spans="1:26" ht="14.4" x14ac:dyDescent="0.3">
      <c r="A60" t="s">
        <v>278</v>
      </c>
      <c r="B60" t="s">
        <v>279</v>
      </c>
      <c r="C60" s="2">
        <v>46160</v>
      </c>
      <c r="D60" t="s">
        <v>28</v>
      </c>
      <c r="E60" t="s">
        <v>133</v>
      </c>
      <c r="F60" t="s">
        <v>56</v>
      </c>
      <c r="G60" t="s">
        <v>134</v>
      </c>
      <c r="H60" t="s">
        <v>46</v>
      </c>
      <c r="I60" t="s">
        <v>33</v>
      </c>
      <c r="J60" t="s">
        <v>34</v>
      </c>
      <c r="K60" t="s">
        <v>35</v>
      </c>
      <c r="L60" t="s">
        <v>36</v>
      </c>
      <c r="M60">
        <v>1</v>
      </c>
      <c r="N60">
        <v>13186</v>
      </c>
      <c r="O60" s="2">
        <v>0</v>
      </c>
      <c r="P60" s="2">
        <v>13186</v>
      </c>
      <c r="Q60" s="2">
        <v>10646.63</v>
      </c>
      <c r="R60" s="2">
        <v>2539.37</v>
      </c>
      <c r="S60" t="s">
        <v>37</v>
      </c>
      <c r="T60">
        <v>5</v>
      </c>
      <c r="U60" t="s">
        <v>51</v>
      </c>
      <c r="V60" t="s">
        <v>75</v>
      </c>
      <c r="W60" s="3">
        <f>Table1[[#This Row],[Profit]]/Table1[[#This Row],[Sales]]</f>
        <v>0.1925807674806613</v>
      </c>
      <c r="X60" t="str">
        <f>IF(Table1[[#This Row],[Sales]]&gt;=30000,"High Value",IF(Table1[[#This Row],[Sales]]&gt;=15000,"Medium Value","Low Value"))</f>
        <v>Low Value</v>
      </c>
      <c r="Y60" t="str">
        <f>IF(Table1[[#This Row],[Quantity]]&gt;=3,"Bulk Order","Regular Order")</f>
        <v>Regular Order</v>
      </c>
      <c r="Z60" t="str">
        <f>TEXT(Table1[[#This Row],[Order Date]],"dddd")</f>
        <v>Monday</v>
      </c>
    </row>
    <row r="61" spans="1:26" ht="14.4" x14ac:dyDescent="0.3">
      <c r="A61" t="s">
        <v>280</v>
      </c>
      <c r="B61" t="s">
        <v>281</v>
      </c>
      <c r="C61" s="2">
        <v>46162</v>
      </c>
      <c r="D61" t="s">
        <v>28</v>
      </c>
      <c r="E61" t="s">
        <v>29</v>
      </c>
      <c r="F61" t="s">
        <v>282</v>
      </c>
      <c r="G61" t="s">
        <v>283</v>
      </c>
      <c r="H61" t="s">
        <v>32</v>
      </c>
      <c r="I61" t="s">
        <v>33</v>
      </c>
      <c r="J61" t="s">
        <v>59</v>
      </c>
      <c r="K61" t="s">
        <v>60</v>
      </c>
      <c r="L61" t="s">
        <v>61</v>
      </c>
      <c r="M61">
        <v>1</v>
      </c>
      <c r="N61">
        <v>17043</v>
      </c>
      <c r="O61" s="2">
        <v>0</v>
      </c>
      <c r="P61" s="2">
        <v>17043</v>
      </c>
      <c r="Q61" s="2">
        <v>13629.22</v>
      </c>
      <c r="R61" s="2">
        <v>3413.78</v>
      </c>
      <c r="S61" t="s">
        <v>50</v>
      </c>
      <c r="T61">
        <v>5</v>
      </c>
      <c r="U61" t="s">
        <v>51</v>
      </c>
      <c r="V61" t="s">
        <v>116</v>
      </c>
      <c r="W61" s="3">
        <f>Table1[[#This Row],[Profit]]/Table1[[#This Row],[Sales]]</f>
        <v>0.20030393710027578</v>
      </c>
      <c r="X61" t="str">
        <f>IF(Table1[[#This Row],[Sales]]&gt;=30000,"High Value",IF(Table1[[#This Row],[Sales]]&gt;=15000,"Medium Value","Low Value"))</f>
        <v>Medium Value</v>
      </c>
      <c r="Y61" t="str">
        <f>IF(Table1[[#This Row],[Quantity]]&gt;=3,"Bulk Order","Regular Order")</f>
        <v>Regular Order</v>
      </c>
      <c r="Z61" t="str">
        <f>TEXT(Table1[[#This Row],[Order Date]],"dddd")</f>
        <v>Wednesday</v>
      </c>
    </row>
    <row r="62" spans="1:26" ht="14.4" x14ac:dyDescent="0.3">
      <c r="A62" t="s">
        <v>284</v>
      </c>
      <c r="B62" t="s">
        <v>285</v>
      </c>
      <c r="C62" s="2">
        <v>46155</v>
      </c>
      <c r="D62" t="s">
        <v>28</v>
      </c>
      <c r="E62" t="s">
        <v>55</v>
      </c>
      <c r="F62" t="s">
        <v>30</v>
      </c>
      <c r="G62" t="s">
        <v>286</v>
      </c>
      <c r="H62" t="s">
        <v>46</v>
      </c>
      <c r="I62" t="s">
        <v>58</v>
      </c>
      <c r="J62" t="s">
        <v>59</v>
      </c>
      <c r="K62" t="s">
        <v>60</v>
      </c>
      <c r="L62" t="s">
        <v>61</v>
      </c>
      <c r="M62">
        <v>5</v>
      </c>
      <c r="N62">
        <v>17524</v>
      </c>
      <c r="O62" s="2">
        <v>5</v>
      </c>
      <c r="P62" s="2">
        <v>83239</v>
      </c>
      <c r="Q62" s="2">
        <v>66806.080000000002</v>
      </c>
      <c r="R62" s="2">
        <v>16432.919999999998</v>
      </c>
      <c r="S62" t="s">
        <v>81</v>
      </c>
      <c r="T62">
        <v>5</v>
      </c>
      <c r="U62" t="s">
        <v>51</v>
      </c>
      <c r="V62" t="s">
        <v>63</v>
      </c>
      <c r="W62" s="3">
        <f>Table1[[#This Row],[Profit]]/Table1[[#This Row],[Sales]]</f>
        <v>0.19741851776210667</v>
      </c>
      <c r="X62" t="str">
        <f>IF(Table1[[#This Row],[Sales]]&gt;=30000,"High Value",IF(Table1[[#This Row],[Sales]]&gt;=15000,"Medium Value","Low Value"))</f>
        <v>High Value</v>
      </c>
      <c r="Y62" t="str">
        <f>IF(Table1[[#This Row],[Quantity]]&gt;=3,"Bulk Order","Regular Order")</f>
        <v>Bulk Order</v>
      </c>
      <c r="Z62" t="str">
        <f>TEXT(Table1[[#This Row],[Order Date]],"dddd")</f>
        <v>Wednesday</v>
      </c>
    </row>
    <row r="63" spans="1:26" ht="14.4" x14ac:dyDescent="0.3">
      <c r="A63" t="s">
        <v>287</v>
      </c>
      <c r="B63" t="s">
        <v>288</v>
      </c>
      <c r="C63" s="2">
        <v>46147</v>
      </c>
      <c r="D63" t="s">
        <v>28</v>
      </c>
      <c r="E63" t="s">
        <v>55</v>
      </c>
      <c r="F63" t="s">
        <v>210</v>
      </c>
      <c r="G63" t="s">
        <v>182</v>
      </c>
      <c r="H63" t="s">
        <v>46</v>
      </c>
      <c r="I63" t="s">
        <v>58</v>
      </c>
      <c r="J63" t="s">
        <v>47</v>
      </c>
      <c r="K63" t="s">
        <v>69</v>
      </c>
      <c r="L63" t="s">
        <v>70</v>
      </c>
      <c r="M63">
        <v>5</v>
      </c>
      <c r="N63">
        <v>8354</v>
      </c>
      <c r="O63" s="2">
        <v>10</v>
      </c>
      <c r="P63" s="2">
        <v>37593</v>
      </c>
      <c r="Q63" s="2">
        <v>30018.32</v>
      </c>
      <c r="R63" s="2">
        <v>7574.68</v>
      </c>
      <c r="S63" t="s">
        <v>37</v>
      </c>
      <c r="T63">
        <v>3</v>
      </c>
      <c r="U63" t="s">
        <v>51</v>
      </c>
      <c r="V63" t="s">
        <v>39</v>
      </c>
      <c r="W63" s="3">
        <f>Table1[[#This Row],[Profit]]/Table1[[#This Row],[Sales]]</f>
        <v>0.20149176708429761</v>
      </c>
      <c r="X63" t="str">
        <f>IF(Table1[[#This Row],[Sales]]&gt;=30000,"High Value",IF(Table1[[#This Row],[Sales]]&gt;=15000,"Medium Value","Low Value"))</f>
        <v>High Value</v>
      </c>
      <c r="Y63" t="str">
        <f>IF(Table1[[#This Row],[Quantity]]&gt;=3,"Bulk Order","Regular Order")</f>
        <v>Bulk Order</v>
      </c>
      <c r="Z63" t="str">
        <f>TEXT(Table1[[#This Row],[Order Date]],"dddd")</f>
        <v>Tuesday</v>
      </c>
    </row>
    <row r="64" spans="1:26" ht="14.4" x14ac:dyDescent="0.3">
      <c r="A64" t="s">
        <v>289</v>
      </c>
      <c r="B64" t="s">
        <v>290</v>
      </c>
      <c r="C64" s="2">
        <v>46200</v>
      </c>
      <c r="D64" t="s">
        <v>42</v>
      </c>
      <c r="E64" t="s">
        <v>133</v>
      </c>
      <c r="F64" t="s">
        <v>291</v>
      </c>
      <c r="G64" t="s">
        <v>292</v>
      </c>
      <c r="H64" t="s">
        <v>46</v>
      </c>
      <c r="I64" t="s">
        <v>33</v>
      </c>
      <c r="J64" t="s">
        <v>169</v>
      </c>
      <c r="K64" t="s">
        <v>170</v>
      </c>
      <c r="L64" t="s">
        <v>171</v>
      </c>
      <c r="M64">
        <v>1</v>
      </c>
      <c r="N64">
        <v>9953</v>
      </c>
      <c r="O64" s="2">
        <v>10</v>
      </c>
      <c r="P64" s="2">
        <v>8957.7000000000007</v>
      </c>
      <c r="Q64" s="2">
        <v>7092.65</v>
      </c>
      <c r="R64" s="2">
        <v>1865.05</v>
      </c>
      <c r="S64" t="s">
        <v>62</v>
      </c>
      <c r="T64">
        <v>5</v>
      </c>
      <c r="U64" t="s">
        <v>51</v>
      </c>
      <c r="V64" t="s">
        <v>75</v>
      </c>
      <c r="W64" s="3">
        <f>Table1[[#This Row],[Profit]]/Table1[[#This Row],[Sales]]</f>
        <v>0.20820634761155205</v>
      </c>
      <c r="X64" t="str">
        <f>IF(Table1[[#This Row],[Sales]]&gt;=30000,"High Value",IF(Table1[[#This Row],[Sales]]&gt;=15000,"Medium Value","Low Value"))</f>
        <v>Low Value</v>
      </c>
      <c r="Y64" t="str">
        <f>IF(Table1[[#This Row],[Quantity]]&gt;=3,"Bulk Order","Regular Order")</f>
        <v>Regular Order</v>
      </c>
      <c r="Z64" t="str">
        <f>TEXT(Table1[[#This Row],[Order Date]],"dddd")</f>
        <v>Saturday</v>
      </c>
    </row>
    <row r="65" spans="1:26" ht="14.4" x14ac:dyDescent="0.3">
      <c r="A65" t="s">
        <v>293</v>
      </c>
      <c r="B65" t="s">
        <v>294</v>
      </c>
      <c r="C65" s="2">
        <v>46162</v>
      </c>
      <c r="D65" t="s">
        <v>28</v>
      </c>
      <c r="E65" t="s">
        <v>66</v>
      </c>
      <c r="F65" t="s">
        <v>260</v>
      </c>
      <c r="G65" t="s">
        <v>286</v>
      </c>
      <c r="H65" t="s">
        <v>46</v>
      </c>
      <c r="I65" t="s">
        <v>33</v>
      </c>
      <c r="J65" t="s">
        <v>59</v>
      </c>
      <c r="K65" t="s">
        <v>60</v>
      </c>
      <c r="L65" t="s">
        <v>61</v>
      </c>
      <c r="M65">
        <v>2</v>
      </c>
      <c r="N65">
        <v>16353</v>
      </c>
      <c r="O65" s="2">
        <v>5</v>
      </c>
      <c r="P65" s="2">
        <v>31070.7</v>
      </c>
      <c r="Q65" s="2">
        <v>24663.87</v>
      </c>
      <c r="R65" s="2">
        <v>6406.83</v>
      </c>
      <c r="S65" t="s">
        <v>37</v>
      </c>
      <c r="T65">
        <v>5</v>
      </c>
      <c r="U65" t="s">
        <v>51</v>
      </c>
      <c r="V65" t="s">
        <v>39</v>
      </c>
      <c r="W65" s="3">
        <f>Table1[[#This Row],[Profit]]/Table1[[#This Row],[Sales]]</f>
        <v>0.20620166265967615</v>
      </c>
      <c r="X65" t="str">
        <f>IF(Table1[[#This Row],[Sales]]&gt;=30000,"High Value",IF(Table1[[#This Row],[Sales]]&gt;=15000,"Medium Value","Low Value"))</f>
        <v>High Value</v>
      </c>
      <c r="Y65" t="str">
        <f>IF(Table1[[#This Row],[Quantity]]&gt;=3,"Bulk Order","Regular Order")</f>
        <v>Regular Order</v>
      </c>
      <c r="Z65" t="str">
        <f>TEXT(Table1[[#This Row],[Order Date]],"dddd")</f>
        <v>Wednesday</v>
      </c>
    </row>
    <row r="66" spans="1:26" ht="14.4" x14ac:dyDescent="0.3">
      <c r="A66" t="s">
        <v>295</v>
      </c>
      <c r="B66" t="s">
        <v>296</v>
      </c>
      <c r="C66" s="2">
        <v>46180</v>
      </c>
      <c r="D66" t="s">
        <v>42</v>
      </c>
      <c r="E66" t="s">
        <v>29</v>
      </c>
      <c r="F66" t="s">
        <v>297</v>
      </c>
      <c r="G66" t="s">
        <v>80</v>
      </c>
      <c r="H66" t="s">
        <v>46</v>
      </c>
      <c r="I66" t="s">
        <v>58</v>
      </c>
      <c r="J66" t="s">
        <v>59</v>
      </c>
      <c r="K66" t="s">
        <v>60</v>
      </c>
      <c r="L66" t="s">
        <v>61</v>
      </c>
      <c r="M66">
        <v>3</v>
      </c>
      <c r="N66">
        <v>16093</v>
      </c>
      <c r="O66" s="2">
        <v>15</v>
      </c>
      <c r="P66" s="2">
        <v>41037.15</v>
      </c>
      <c r="Q66" s="2">
        <v>32905.379999999997</v>
      </c>
      <c r="R66" s="2">
        <v>8131.77</v>
      </c>
      <c r="S66" t="s">
        <v>37</v>
      </c>
      <c r="T66">
        <v>5</v>
      </c>
      <c r="U66" t="s">
        <v>38</v>
      </c>
      <c r="V66" t="s">
        <v>116</v>
      </c>
      <c r="W66" s="3">
        <f>Table1[[#This Row],[Profit]]/Table1[[#This Row],[Sales]]</f>
        <v>0.19815630471414317</v>
      </c>
      <c r="X66" t="str">
        <f>IF(Table1[[#This Row],[Sales]]&gt;=30000,"High Value",IF(Table1[[#This Row],[Sales]]&gt;=15000,"Medium Value","Low Value"))</f>
        <v>High Value</v>
      </c>
      <c r="Y66" t="str">
        <f>IF(Table1[[#This Row],[Quantity]]&gt;=3,"Bulk Order","Regular Order")</f>
        <v>Bulk Order</v>
      </c>
      <c r="Z66" t="str">
        <f>TEXT(Table1[[#This Row],[Order Date]],"dddd")</f>
        <v>Sunday</v>
      </c>
    </row>
    <row r="67" spans="1:26" ht="14.4" x14ac:dyDescent="0.3">
      <c r="A67" t="s">
        <v>298</v>
      </c>
      <c r="B67" t="s">
        <v>299</v>
      </c>
      <c r="C67" s="2">
        <v>46145</v>
      </c>
      <c r="D67" t="s">
        <v>28</v>
      </c>
      <c r="E67" t="s">
        <v>78</v>
      </c>
      <c r="F67" t="s">
        <v>300</v>
      </c>
      <c r="G67" t="s">
        <v>161</v>
      </c>
      <c r="H67" t="s">
        <v>32</v>
      </c>
      <c r="I67" t="s">
        <v>33</v>
      </c>
      <c r="J67" t="s">
        <v>47</v>
      </c>
      <c r="K67" t="s">
        <v>69</v>
      </c>
      <c r="L67" t="s">
        <v>70</v>
      </c>
      <c r="M67">
        <v>1</v>
      </c>
      <c r="N67">
        <v>8245</v>
      </c>
      <c r="O67" s="2">
        <v>10</v>
      </c>
      <c r="P67" s="2">
        <v>7420.5</v>
      </c>
      <c r="Q67" s="2">
        <v>6025.62</v>
      </c>
      <c r="R67" s="2">
        <v>1394.88</v>
      </c>
      <c r="S67" t="s">
        <v>50</v>
      </c>
      <c r="T67">
        <v>5</v>
      </c>
      <c r="U67" t="s">
        <v>51</v>
      </c>
      <c r="V67" t="s">
        <v>63</v>
      </c>
      <c r="W67" s="3">
        <f>Table1[[#This Row],[Profit]]/Table1[[#This Row],[Sales]]</f>
        <v>0.18797655144532041</v>
      </c>
      <c r="X67" t="str">
        <f>IF(Table1[[#This Row],[Sales]]&gt;=30000,"High Value",IF(Table1[[#This Row],[Sales]]&gt;=15000,"Medium Value","Low Value"))</f>
        <v>Low Value</v>
      </c>
      <c r="Y67" t="str">
        <f>IF(Table1[[#This Row],[Quantity]]&gt;=3,"Bulk Order","Regular Order")</f>
        <v>Regular Order</v>
      </c>
      <c r="Z67" t="str">
        <f>TEXT(Table1[[#This Row],[Order Date]],"dddd")</f>
        <v>Sunday</v>
      </c>
    </row>
    <row r="68" spans="1:26" ht="14.4" x14ac:dyDescent="0.3">
      <c r="A68" t="s">
        <v>301</v>
      </c>
      <c r="B68" t="s">
        <v>302</v>
      </c>
      <c r="C68" s="2">
        <v>46155</v>
      </c>
      <c r="D68" t="s">
        <v>28</v>
      </c>
      <c r="E68" t="s">
        <v>29</v>
      </c>
      <c r="F68" t="s">
        <v>84</v>
      </c>
      <c r="G68" t="s">
        <v>186</v>
      </c>
      <c r="H68" t="s">
        <v>32</v>
      </c>
      <c r="I68" t="s">
        <v>33</v>
      </c>
      <c r="J68" t="s">
        <v>47</v>
      </c>
      <c r="K68" t="s">
        <v>69</v>
      </c>
      <c r="L68" t="s">
        <v>70</v>
      </c>
      <c r="M68">
        <v>2</v>
      </c>
      <c r="N68">
        <v>8268</v>
      </c>
      <c r="O68" s="2">
        <v>5</v>
      </c>
      <c r="P68" s="2">
        <v>15709.2</v>
      </c>
      <c r="Q68" s="2">
        <v>12508.74</v>
      </c>
      <c r="R68" s="2">
        <v>3200.46</v>
      </c>
      <c r="S68" t="s">
        <v>81</v>
      </c>
      <c r="T68">
        <v>5</v>
      </c>
      <c r="U68" t="s">
        <v>51</v>
      </c>
      <c r="V68" t="s">
        <v>86</v>
      </c>
      <c r="W68" s="3">
        <f>Table1[[#This Row],[Profit]]/Table1[[#This Row],[Sales]]</f>
        <v>0.20373157130853256</v>
      </c>
      <c r="X68" t="str">
        <f>IF(Table1[[#This Row],[Sales]]&gt;=30000,"High Value",IF(Table1[[#This Row],[Sales]]&gt;=15000,"Medium Value","Low Value"))</f>
        <v>Medium Value</v>
      </c>
      <c r="Y68" t="str">
        <f>IF(Table1[[#This Row],[Quantity]]&gt;=3,"Bulk Order","Regular Order")</f>
        <v>Regular Order</v>
      </c>
      <c r="Z68" t="str">
        <f>TEXT(Table1[[#This Row],[Order Date]],"dddd")</f>
        <v>Wednesday</v>
      </c>
    </row>
    <row r="69" spans="1:26" ht="14.4" x14ac:dyDescent="0.3">
      <c r="A69" t="s">
        <v>303</v>
      </c>
      <c r="B69" t="s">
        <v>304</v>
      </c>
      <c r="C69" s="2">
        <v>46183</v>
      </c>
      <c r="D69" t="s">
        <v>42</v>
      </c>
      <c r="E69" t="s">
        <v>78</v>
      </c>
      <c r="F69" t="s">
        <v>79</v>
      </c>
      <c r="G69" t="s">
        <v>211</v>
      </c>
      <c r="H69" t="s">
        <v>32</v>
      </c>
      <c r="I69" t="s">
        <v>58</v>
      </c>
      <c r="J69" t="s">
        <v>169</v>
      </c>
      <c r="K69" t="s">
        <v>170</v>
      </c>
      <c r="L69" t="s">
        <v>171</v>
      </c>
      <c r="M69">
        <v>4</v>
      </c>
      <c r="N69">
        <v>11526</v>
      </c>
      <c r="O69" s="2">
        <v>0</v>
      </c>
      <c r="P69" s="2">
        <v>46104</v>
      </c>
      <c r="Q69" s="2">
        <v>36459.089999999997</v>
      </c>
      <c r="R69" s="2">
        <v>9644.91</v>
      </c>
      <c r="S69" t="s">
        <v>37</v>
      </c>
      <c r="T69">
        <v>5</v>
      </c>
      <c r="U69" t="s">
        <v>51</v>
      </c>
      <c r="V69" t="s">
        <v>39</v>
      </c>
      <c r="W69" s="3">
        <f>Table1[[#This Row],[Profit]]/Table1[[#This Row],[Sales]]</f>
        <v>0.20919898490369598</v>
      </c>
      <c r="X69" t="str">
        <f>IF(Table1[[#This Row],[Sales]]&gt;=30000,"High Value",IF(Table1[[#This Row],[Sales]]&gt;=15000,"Medium Value","Low Value"))</f>
        <v>High Value</v>
      </c>
      <c r="Y69" t="str">
        <f>IF(Table1[[#This Row],[Quantity]]&gt;=3,"Bulk Order","Regular Order")</f>
        <v>Bulk Order</v>
      </c>
      <c r="Z69" t="str">
        <f>TEXT(Table1[[#This Row],[Order Date]],"dddd")</f>
        <v>Wednesday</v>
      </c>
    </row>
    <row r="70" spans="1:26" ht="14.4" x14ac:dyDescent="0.3">
      <c r="A70" t="s">
        <v>305</v>
      </c>
      <c r="B70" t="s">
        <v>306</v>
      </c>
      <c r="C70" s="2">
        <v>46200</v>
      </c>
      <c r="D70" t="s">
        <v>42</v>
      </c>
      <c r="E70" t="s">
        <v>66</v>
      </c>
      <c r="F70" t="s">
        <v>307</v>
      </c>
      <c r="G70" t="s">
        <v>85</v>
      </c>
      <c r="H70" t="s">
        <v>32</v>
      </c>
      <c r="I70" t="s">
        <v>33</v>
      </c>
      <c r="J70" t="s">
        <v>59</v>
      </c>
      <c r="K70" t="s">
        <v>60</v>
      </c>
      <c r="L70" t="s">
        <v>61</v>
      </c>
      <c r="M70">
        <v>2</v>
      </c>
      <c r="N70">
        <v>15876</v>
      </c>
      <c r="O70" s="2">
        <v>5</v>
      </c>
      <c r="P70" s="2">
        <v>30164.400000000001</v>
      </c>
      <c r="Q70" s="2">
        <v>23858.48</v>
      </c>
      <c r="R70" s="2">
        <v>6305.92</v>
      </c>
      <c r="S70" t="s">
        <v>50</v>
      </c>
      <c r="T70">
        <v>4</v>
      </c>
      <c r="U70" t="s">
        <v>51</v>
      </c>
      <c r="V70" t="s">
        <v>39</v>
      </c>
      <c r="W70" s="3">
        <f>Table1[[#This Row],[Profit]]/Table1[[#This Row],[Sales]]</f>
        <v>0.20905172985373485</v>
      </c>
      <c r="X70" t="str">
        <f>IF(Table1[[#This Row],[Sales]]&gt;=30000,"High Value",IF(Table1[[#This Row],[Sales]]&gt;=15000,"Medium Value","Low Value"))</f>
        <v>High Value</v>
      </c>
      <c r="Y70" t="str">
        <f>IF(Table1[[#This Row],[Quantity]]&gt;=3,"Bulk Order","Regular Order")</f>
        <v>Regular Order</v>
      </c>
      <c r="Z70" t="str">
        <f>TEXT(Table1[[#This Row],[Order Date]],"dddd")</f>
        <v>Saturday</v>
      </c>
    </row>
    <row r="71" spans="1:26" ht="14.4" x14ac:dyDescent="0.3">
      <c r="A71" t="s">
        <v>308</v>
      </c>
      <c r="B71" t="s">
        <v>309</v>
      </c>
      <c r="C71" s="2">
        <v>46143</v>
      </c>
      <c r="D71" t="s">
        <v>28</v>
      </c>
      <c r="E71" t="s">
        <v>66</v>
      </c>
      <c r="F71" t="s">
        <v>310</v>
      </c>
      <c r="G71" t="s">
        <v>311</v>
      </c>
      <c r="H71" t="s">
        <v>46</v>
      </c>
      <c r="I71" t="s">
        <v>33</v>
      </c>
      <c r="J71" t="s">
        <v>169</v>
      </c>
      <c r="K71" t="s">
        <v>170</v>
      </c>
      <c r="L71" t="s">
        <v>171</v>
      </c>
      <c r="M71">
        <v>2</v>
      </c>
      <c r="N71">
        <v>11671</v>
      </c>
      <c r="O71" s="2">
        <v>10</v>
      </c>
      <c r="P71" s="2">
        <v>21007.8</v>
      </c>
      <c r="Q71" s="2">
        <v>16987.669999999998</v>
      </c>
      <c r="R71" s="2">
        <v>4020.13</v>
      </c>
      <c r="S71" t="s">
        <v>50</v>
      </c>
      <c r="T71">
        <v>4</v>
      </c>
      <c r="U71" t="s">
        <v>51</v>
      </c>
      <c r="V71" t="s">
        <v>63</v>
      </c>
      <c r="W71" s="3">
        <f>Table1[[#This Row],[Profit]]/Table1[[#This Row],[Sales]]</f>
        <v>0.1913636839650035</v>
      </c>
      <c r="X71" t="str">
        <f>IF(Table1[[#This Row],[Sales]]&gt;=30000,"High Value",IF(Table1[[#This Row],[Sales]]&gt;=15000,"Medium Value","Low Value"))</f>
        <v>Medium Value</v>
      </c>
      <c r="Y71" t="str">
        <f>IF(Table1[[#This Row],[Quantity]]&gt;=3,"Bulk Order","Regular Order")</f>
        <v>Regular Order</v>
      </c>
      <c r="Z71" t="str">
        <f>TEXT(Table1[[#This Row],[Order Date]],"dddd")</f>
        <v>Friday</v>
      </c>
    </row>
    <row r="72" spans="1:26" ht="14.4" x14ac:dyDescent="0.3">
      <c r="A72" t="s">
        <v>312</v>
      </c>
      <c r="B72" t="s">
        <v>313</v>
      </c>
      <c r="C72" s="2">
        <v>46163</v>
      </c>
      <c r="D72" t="s">
        <v>28</v>
      </c>
      <c r="E72" t="s">
        <v>55</v>
      </c>
      <c r="F72" t="s">
        <v>178</v>
      </c>
      <c r="G72" t="s">
        <v>148</v>
      </c>
      <c r="H72" t="s">
        <v>32</v>
      </c>
      <c r="I72" t="s">
        <v>33</v>
      </c>
      <c r="J72" t="s">
        <v>47</v>
      </c>
      <c r="K72" t="s">
        <v>48</v>
      </c>
      <c r="L72" t="s">
        <v>49</v>
      </c>
      <c r="M72">
        <v>2</v>
      </c>
      <c r="N72">
        <v>8308</v>
      </c>
      <c r="O72" s="2">
        <v>5</v>
      </c>
      <c r="P72" s="2">
        <v>15785.2</v>
      </c>
      <c r="Q72" s="2">
        <v>12350.09</v>
      </c>
      <c r="R72" s="2">
        <v>3435.11</v>
      </c>
      <c r="S72" t="s">
        <v>37</v>
      </c>
      <c r="T72">
        <v>4</v>
      </c>
      <c r="U72" t="s">
        <v>51</v>
      </c>
      <c r="V72" t="s">
        <v>86</v>
      </c>
      <c r="W72" s="3">
        <f>Table1[[#This Row],[Profit]]/Table1[[#This Row],[Sales]]</f>
        <v>0.21761586802827965</v>
      </c>
      <c r="X72" t="str">
        <f>IF(Table1[[#This Row],[Sales]]&gt;=30000,"High Value",IF(Table1[[#This Row],[Sales]]&gt;=15000,"Medium Value","Low Value"))</f>
        <v>Medium Value</v>
      </c>
      <c r="Y72" t="str">
        <f>IF(Table1[[#This Row],[Quantity]]&gt;=3,"Bulk Order","Regular Order")</f>
        <v>Regular Order</v>
      </c>
      <c r="Z72" t="str">
        <f>TEXT(Table1[[#This Row],[Order Date]],"dddd")</f>
        <v>Thursday</v>
      </c>
    </row>
    <row r="73" spans="1:26" ht="14.4" x14ac:dyDescent="0.3">
      <c r="A73" t="s">
        <v>314</v>
      </c>
      <c r="B73" t="s">
        <v>315</v>
      </c>
      <c r="C73" s="2">
        <v>46149</v>
      </c>
      <c r="D73" t="s">
        <v>28</v>
      </c>
      <c r="E73" t="s">
        <v>55</v>
      </c>
      <c r="F73" t="s">
        <v>316</v>
      </c>
      <c r="G73" t="s">
        <v>225</v>
      </c>
      <c r="H73" t="s">
        <v>32</v>
      </c>
      <c r="I73" t="s">
        <v>58</v>
      </c>
      <c r="J73" t="s">
        <v>59</v>
      </c>
      <c r="K73" t="s">
        <v>60</v>
      </c>
      <c r="L73" t="s">
        <v>61</v>
      </c>
      <c r="M73">
        <v>5</v>
      </c>
      <c r="N73">
        <v>15508</v>
      </c>
      <c r="O73" s="2">
        <v>5</v>
      </c>
      <c r="P73" s="2">
        <v>73663</v>
      </c>
      <c r="Q73" s="2">
        <v>58937.58</v>
      </c>
      <c r="R73" s="2">
        <v>14725.42</v>
      </c>
      <c r="S73" t="s">
        <v>37</v>
      </c>
      <c r="T73">
        <v>4</v>
      </c>
      <c r="U73" t="s">
        <v>51</v>
      </c>
      <c r="V73" t="s">
        <v>39</v>
      </c>
      <c r="W73" s="3">
        <f>Table1[[#This Row],[Profit]]/Table1[[#This Row],[Sales]]</f>
        <v>0.1999025290851581</v>
      </c>
      <c r="X73" t="str">
        <f>IF(Table1[[#This Row],[Sales]]&gt;=30000,"High Value",IF(Table1[[#This Row],[Sales]]&gt;=15000,"Medium Value","Low Value"))</f>
        <v>High Value</v>
      </c>
      <c r="Y73" t="str">
        <f>IF(Table1[[#This Row],[Quantity]]&gt;=3,"Bulk Order","Regular Order")</f>
        <v>Bulk Order</v>
      </c>
      <c r="Z73" t="str">
        <f>TEXT(Table1[[#This Row],[Order Date]],"dddd")</f>
        <v>Thursday</v>
      </c>
    </row>
    <row r="74" spans="1:26" ht="14.4" x14ac:dyDescent="0.3">
      <c r="A74" t="s">
        <v>317</v>
      </c>
      <c r="B74" t="s">
        <v>318</v>
      </c>
      <c r="C74" s="2">
        <v>46188</v>
      </c>
      <c r="D74" t="s">
        <v>42</v>
      </c>
      <c r="E74" t="s">
        <v>29</v>
      </c>
      <c r="F74" t="s">
        <v>123</v>
      </c>
      <c r="G74" t="s">
        <v>193</v>
      </c>
      <c r="H74" t="s">
        <v>32</v>
      </c>
      <c r="I74" t="s">
        <v>58</v>
      </c>
      <c r="J74" t="s">
        <v>59</v>
      </c>
      <c r="K74" t="s">
        <v>60</v>
      </c>
      <c r="L74" t="s">
        <v>61</v>
      </c>
      <c r="M74">
        <v>4</v>
      </c>
      <c r="N74">
        <v>15822</v>
      </c>
      <c r="O74" s="2">
        <v>5</v>
      </c>
      <c r="P74" s="2">
        <v>60123.6</v>
      </c>
      <c r="Q74" s="2">
        <v>47348.87</v>
      </c>
      <c r="R74" s="2">
        <v>12774.73</v>
      </c>
      <c r="S74" t="s">
        <v>81</v>
      </c>
      <c r="T74">
        <v>4</v>
      </c>
      <c r="U74" t="s">
        <v>51</v>
      </c>
      <c r="V74" t="s">
        <v>75</v>
      </c>
      <c r="W74" s="3">
        <f>Table1[[#This Row],[Profit]]/Table1[[#This Row],[Sales]]</f>
        <v>0.21247446925999108</v>
      </c>
      <c r="X74" t="str">
        <f>IF(Table1[[#This Row],[Sales]]&gt;=30000,"High Value",IF(Table1[[#This Row],[Sales]]&gt;=15000,"Medium Value","Low Value"))</f>
        <v>High Value</v>
      </c>
      <c r="Y74" t="str">
        <f>IF(Table1[[#This Row],[Quantity]]&gt;=3,"Bulk Order","Regular Order")</f>
        <v>Bulk Order</v>
      </c>
      <c r="Z74" t="str">
        <f>TEXT(Table1[[#This Row],[Order Date]],"dddd")</f>
        <v>Monday</v>
      </c>
    </row>
    <row r="75" spans="1:26" ht="14.4" x14ac:dyDescent="0.3">
      <c r="A75" t="s">
        <v>319</v>
      </c>
      <c r="B75" t="s">
        <v>320</v>
      </c>
      <c r="C75" s="2">
        <v>46199</v>
      </c>
      <c r="D75" t="s">
        <v>42</v>
      </c>
      <c r="E75" t="s">
        <v>66</v>
      </c>
      <c r="F75" t="s">
        <v>321</v>
      </c>
      <c r="G75" t="s">
        <v>322</v>
      </c>
      <c r="H75" t="s">
        <v>32</v>
      </c>
      <c r="I75" t="s">
        <v>33</v>
      </c>
      <c r="J75" t="s">
        <v>59</v>
      </c>
      <c r="K75" t="s">
        <v>60</v>
      </c>
      <c r="L75" t="s">
        <v>61</v>
      </c>
      <c r="M75">
        <v>1</v>
      </c>
      <c r="N75">
        <v>16808</v>
      </c>
      <c r="O75" s="2">
        <v>10</v>
      </c>
      <c r="P75" s="2">
        <v>15127.2</v>
      </c>
      <c r="Q75" s="2">
        <v>11843.59</v>
      </c>
      <c r="R75" s="2">
        <v>3283.61</v>
      </c>
      <c r="S75" t="s">
        <v>37</v>
      </c>
      <c r="T75">
        <v>4</v>
      </c>
      <c r="U75" t="s">
        <v>51</v>
      </c>
      <c r="V75" t="s">
        <v>86</v>
      </c>
      <c r="W75" s="3">
        <f>Table1[[#This Row],[Profit]]/Table1[[#This Row],[Sales]]</f>
        <v>0.21706660849331005</v>
      </c>
      <c r="X75" t="str">
        <f>IF(Table1[[#This Row],[Sales]]&gt;=30000,"High Value",IF(Table1[[#This Row],[Sales]]&gt;=15000,"Medium Value","Low Value"))</f>
        <v>Medium Value</v>
      </c>
      <c r="Y75" t="str">
        <f>IF(Table1[[#This Row],[Quantity]]&gt;=3,"Bulk Order","Regular Order")</f>
        <v>Regular Order</v>
      </c>
      <c r="Z75" t="str">
        <f>TEXT(Table1[[#This Row],[Order Date]],"dddd")</f>
        <v>Friday</v>
      </c>
    </row>
    <row r="76" spans="1:26" ht="14.4" x14ac:dyDescent="0.3">
      <c r="A76" t="s">
        <v>323</v>
      </c>
      <c r="B76" t="s">
        <v>324</v>
      </c>
      <c r="C76" s="2">
        <v>46143</v>
      </c>
      <c r="D76" t="s">
        <v>28</v>
      </c>
      <c r="E76" t="s">
        <v>133</v>
      </c>
      <c r="F76" t="s">
        <v>325</v>
      </c>
      <c r="G76" t="s">
        <v>311</v>
      </c>
      <c r="H76" t="s">
        <v>46</v>
      </c>
      <c r="I76" t="s">
        <v>33</v>
      </c>
      <c r="J76" t="s">
        <v>59</v>
      </c>
      <c r="K76" t="s">
        <v>60</v>
      </c>
      <c r="L76" t="s">
        <v>61</v>
      </c>
      <c r="M76">
        <v>1</v>
      </c>
      <c r="N76">
        <v>17833</v>
      </c>
      <c r="O76" s="2">
        <v>0</v>
      </c>
      <c r="P76" s="2">
        <v>17833</v>
      </c>
      <c r="Q76" s="2">
        <v>14349.13</v>
      </c>
      <c r="R76" s="2">
        <v>3483.87</v>
      </c>
      <c r="S76" t="s">
        <v>81</v>
      </c>
      <c r="T76">
        <v>5</v>
      </c>
      <c r="U76" t="s">
        <v>51</v>
      </c>
      <c r="V76" t="s">
        <v>63</v>
      </c>
      <c r="W76" s="3">
        <f>Table1[[#This Row],[Profit]]/Table1[[#This Row],[Sales]]</f>
        <v>0.19536084786631525</v>
      </c>
      <c r="X76" t="str">
        <f>IF(Table1[[#This Row],[Sales]]&gt;=30000,"High Value",IF(Table1[[#This Row],[Sales]]&gt;=15000,"Medium Value","Low Value"))</f>
        <v>Medium Value</v>
      </c>
      <c r="Y76" t="str">
        <f>IF(Table1[[#This Row],[Quantity]]&gt;=3,"Bulk Order","Regular Order")</f>
        <v>Regular Order</v>
      </c>
      <c r="Z76" t="str">
        <f>TEXT(Table1[[#This Row],[Order Date]],"dddd")</f>
        <v>Friday</v>
      </c>
    </row>
    <row r="77" spans="1:26" ht="14.4" x14ac:dyDescent="0.3">
      <c r="A77" t="s">
        <v>326</v>
      </c>
      <c r="B77" t="s">
        <v>327</v>
      </c>
      <c r="C77" s="2">
        <v>46158</v>
      </c>
      <c r="D77" t="s">
        <v>28</v>
      </c>
      <c r="E77" t="s">
        <v>66</v>
      </c>
      <c r="F77" t="s">
        <v>277</v>
      </c>
      <c r="G77" t="s">
        <v>99</v>
      </c>
      <c r="H77" t="s">
        <v>46</v>
      </c>
      <c r="I77" t="s">
        <v>33</v>
      </c>
      <c r="J77" t="s">
        <v>59</v>
      </c>
      <c r="K77" t="s">
        <v>60</v>
      </c>
      <c r="L77" t="s">
        <v>61</v>
      </c>
      <c r="M77">
        <v>2</v>
      </c>
      <c r="N77">
        <v>17471</v>
      </c>
      <c r="O77" s="2">
        <v>0</v>
      </c>
      <c r="P77" s="2">
        <v>34942</v>
      </c>
      <c r="Q77" s="2">
        <v>27595.99</v>
      </c>
      <c r="R77" s="2">
        <v>7346.01</v>
      </c>
      <c r="S77" t="s">
        <v>37</v>
      </c>
      <c r="T77">
        <v>5</v>
      </c>
      <c r="U77" t="s">
        <v>51</v>
      </c>
      <c r="V77" t="s">
        <v>86</v>
      </c>
      <c r="W77" s="3">
        <f>Table1[[#This Row],[Profit]]/Table1[[#This Row],[Sales]]</f>
        <v>0.21023438841508788</v>
      </c>
      <c r="X77" t="str">
        <f>IF(Table1[[#This Row],[Sales]]&gt;=30000,"High Value",IF(Table1[[#This Row],[Sales]]&gt;=15000,"Medium Value","Low Value"))</f>
        <v>High Value</v>
      </c>
      <c r="Y77" t="str">
        <f>IF(Table1[[#This Row],[Quantity]]&gt;=3,"Bulk Order","Regular Order")</f>
        <v>Regular Order</v>
      </c>
      <c r="Z77" t="str">
        <f>TEXT(Table1[[#This Row],[Order Date]],"dddd")</f>
        <v>Saturday</v>
      </c>
    </row>
    <row r="78" spans="1:26" ht="14.4" x14ac:dyDescent="0.3">
      <c r="A78" t="s">
        <v>328</v>
      </c>
      <c r="B78" t="s">
        <v>329</v>
      </c>
      <c r="C78" s="2">
        <v>46150</v>
      </c>
      <c r="D78" t="s">
        <v>28</v>
      </c>
      <c r="E78" t="s">
        <v>133</v>
      </c>
      <c r="F78" t="s">
        <v>330</v>
      </c>
      <c r="G78" t="s">
        <v>161</v>
      </c>
      <c r="H78" t="s">
        <v>32</v>
      </c>
      <c r="I78" t="s">
        <v>33</v>
      </c>
      <c r="J78" t="s">
        <v>199</v>
      </c>
      <c r="K78" t="s">
        <v>200</v>
      </c>
      <c r="L78" t="s">
        <v>130</v>
      </c>
      <c r="M78">
        <v>2</v>
      </c>
      <c r="N78">
        <v>1350</v>
      </c>
      <c r="O78" s="2">
        <v>10</v>
      </c>
      <c r="P78" s="2">
        <v>2430</v>
      </c>
      <c r="Q78" s="2">
        <v>1538.65</v>
      </c>
      <c r="R78" s="2">
        <v>891.35</v>
      </c>
      <c r="S78" t="s">
        <v>50</v>
      </c>
      <c r="T78">
        <v>5</v>
      </c>
      <c r="U78" t="s">
        <v>51</v>
      </c>
      <c r="V78" t="s">
        <v>86</v>
      </c>
      <c r="W78" s="3">
        <f>Table1[[#This Row],[Profit]]/Table1[[#This Row],[Sales]]</f>
        <v>0.3668106995884774</v>
      </c>
      <c r="X78" t="str">
        <f>IF(Table1[[#This Row],[Sales]]&gt;=30000,"High Value",IF(Table1[[#This Row],[Sales]]&gt;=15000,"Medium Value","Low Value"))</f>
        <v>Low Value</v>
      </c>
      <c r="Y78" t="str">
        <f>IF(Table1[[#This Row],[Quantity]]&gt;=3,"Bulk Order","Regular Order")</f>
        <v>Regular Order</v>
      </c>
      <c r="Z78" t="str">
        <f>TEXT(Table1[[#This Row],[Order Date]],"dddd")</f>
        <v>Friday</v>
      </c>
    </row>
    <row r="79" spans="1:26" ht="14.4" x14ac:dyDescent="0.3">
      <c r="A79" t="s">
        <v>331</v>
      </c>
      <c r="B79" t="s">
        <v>332</v>
      </c>
      <c r="C79" s="2">
        <v>46178</v>
      </c>
      <c r="D79" t="s">
        <v>42</v>
      </c>
      <c r="E79" t="s">
        <v>66</v>
      </c>
      <c r="F79" t="s">
        <v>333</v>
      </c>
      <c r="G79" t="s">
        <v>249</v>
      </c>
      <c r="H79" t="s">
        <v>32</v>
      </c>
      <c r="I79" t="s">
        <v>33</v>
      </c>
      <c r="J79" t="s">
        <v>59</v>
      </c>
      <c r="K79" t="s">
        <v>60</v>
      </c>
      <c r="L79" t="s">
        <v>61</v>
      </c>
      <c r="M79">
        <v>2</v>
      </c>
      <c r="N79">
        <v>17566</v>
      </c>
      <c r="O79" s="2">
        <v>10</v>
      </c>
      <c r="P79" s="2">
        <v>31618.799999999999</v>
      </c>
      <c r="Q79" s="2">
        <v>25240.01</v>
      </c>
      <c r="R79" s="2">
        <v>6378.79</v>
      </c>
      <c r="S79" t="s">
        <v>50</v>
      </c>
      <c r="T79">
        <v>4</v>
      </c>
      <c r="U79" t="s">
        <v>51</v>
      </c>
      <c r="V79" t="s">
        <v>75</v>
      </c>
      <c r="W79" s="3">
        <f>Table1[[#This Row],[Profit]]/Table1[[#This Row],[Sales]]</f>
        <v>0.2017404202563032</v>
      </c>
      <c r="X79" t="str">
        <f>IF(Table1[[#This Row],[Sales]]&gt;=30000,"High Value",IF(Table1[[#This Row],[Sales]]&gt;=15000,"Medium Value","Low Value"))</f>
        <v>High Value</v>
      </c>
      <c r="Y79" t="str">
        <f>IF(Table1[[#This Row],[Quantity]]&gt;=3,"Bulk Order","Regular Order")</f>
        <v>Regular Order</v>
      </c>
      <c r="Z79" t="str">
        <f>TEXT(Table1[[#This Row],[Order Date]],"dddd")</f>
        <v>Friday</v>
      </c>
    </row>
    <row r="80" spans="1:26" ht="14.4" x14ac:dyDescent="0.3">
      <c r="A80" t="s">
        <v>334</v>
      </c>
      <c r="B80" t="s">
        <v>335</v>
      </c>
      <c r="C80" s="2">
        <v>46163</v>
      </c>
      <c r="D80" t="s">
        <v>28</v>
      </c>
      <c r="E80" t="s">
        <v>133</v>
      </c>
      <c r="F80" t="s">
        <v>154</v>
      </c>
      <c r="G80" t="s">
        <v>249</v>
      </c>
      <c r="H80" t="s">
        <v>32</v>
      </c>
      <c r="I80" t="s">
        <v>33</v>
      </c>
      <c r="J80" t="s">
        <v>47</v>
      </c>
      <c r="K80" t="s">
        <v>69</v>
      </c>
      <c r="L80" t="s">
        <v>70</v>
      </c>
      <c r="M80">
        <v>2</v>
      </c>
      <c r="N80">
        <v>8751</v>
      </c>
      <c r="O80" s="2">
        <v>10</v>
      </c>
      <c r="P80" s="2">
        <v>15751.8</v>
      </c>
      <c r="Q80" s="2">
        <v>12741</v>
      </c>
      <c r="R80" s="2">
        <v>3010.8</v>
      </c>
      <c r="S80" t="s">
        <v>37</v>
      </c>
      <c r="T80">
        <v>4</v>
      </c>
      <c r="U80" t="s">
        <v>51</v>
      </c>
      <c r="V80" t="s">
        <v>75</v>
      </c>
      <c r="W80" s="3">
        <f>Table1[[#This Row],[Profit]]/Table1[[#This Row],[Sales]]</f>
        <v>0.19114006018359808</v>
      </c>
      <c r="X80" t="str">
        <f>IF(Table1[[#This Row],[Sales]]&gt;=30000,"High Value",IF(Table1[[#This Row],[Sales]]&gt;=15000,"Medium Value","Low Value"))</f>
        <v>Medium Value</v>
      </c>
      <c r="Y80" t="str">
        <f>IF(Table1[[#This Row],[Quantity]]&gt;=3,"Bulk Order","Regular Order")</f>
        <v>Regular Order</v>
      </c>
      <c r="Z80" t="str">
        <f>TEXT(Table1[[#This Row],[Order Date]],"dddd")</f>
        <v>Thursday</v>
      </c>
    </row>
    <row r="81" spans="1:26" ht="14.4" x14ac:dyDescent="0.3">
      <c r="A81" t="s">
        <v>336</v>
      </c>
      <c r="B81" t="s">
        <v>337</v>
      </c>
      <c r="C81" s="2">
        <v>46159</v>
      </c>
      <c r="D81" t="s">
        <v>28</v>
      </c>
      <c r="E81" t="s">
        <v>66</v>
      </c>
      <c r="F81" t="s">
        <v>338</v>
      </c>
      <c r="G81" t="s">
        <v>235</v>
      </c>
      <c r="H81" t="s">
        <v>46</v>
      </c>
      <c r="I81" t="s">
        <v>33</v>
      </c>
      <c r="J81" t="s">
        <v>34</v>
      </c>
      <c r="K81" t="s">
        <v>35</v>
      </c>
      <c r="L81" t="s">
        <v>36</v>
      </c>
      <c r="M81">
        <v>2</v>
      </c>
      <c r="N81">
        <v>11473</v>
      </c>
      <c r="O81" s="2">
        <v>0</v>
      </c>
      <c r="P81" s="2">
        <v>22946</v>
      </c>
      <c r="Q81" s="2">
        <v>18596.16</v>
      </c>
      <c r="R81" s="2">
        <v>4349.84</v>
      </c>
      <c r="S81" t="s">
        <v>81</v>
      </c>
      <c r="T81">
        <v>4</v>
      </c>
      <c r="U81" t="s">
        <v>51</v>
      </c>
      <c r="V81" t="s">
        <v>86</v>
      </c>
      <c r="W81" s="3">
        <f>Table1[[#This Row],[Profit]]/Table1[[#This Row],[Sales]]</f>
        <v>0.18956855225311603</v>
      </c>
      <c r="X81" t="str">
        <f>IF(Table1[[#This Row],[Sales]]&gt;=30000,"High Value",IF(Table1[[#This Row],[Sales]]&gt;=15000,"Medium Value","Low Value"))</f>
        <v>Medium Value</v>
      </c>
      <c r="Y81" t="str">
        <f>IF(Table1[[#This Row],[Quantity]]&gt;=3,"Bulk Order","Regular Order")</f>
        <v>Regular Order</v>
      </c>
      <c r="Z81" t="str">
        <f>TEXT(Table1[[#This Row],[Order Date]],"dddd")</f>
        <v>Sunday</v>
      </c>
    </row>
    <row r="82" spans="1:26" ht="14.4" x14ac:dyDescent="0.3">
      <c r="A82" t="s">
        <v>339</v>
      </c>
      <c r="B82" t="s">
        <v>340</v>
      </c>
      <c r="C82" s="2">
        <v>46166</v>
      </c>
      <c r="D82" t="s">
        <v>28</v>
      </c>
      <c r="E82" t="s">
        <v>133</v>
      </c>
      <c r="F82" t="s">
        <v>341</v>
      </c>
      <c r="G82" t="s">
        <v>342</v>
      </c>
      <c r="H82" t="s">
        <v>46</v>
      </c>
      <c r="I82" t="s">
        <v>33</v>
      </c>
      <c r="J82" t="s">
        <v>59</v>
      </c>
      <c r="K82" t="s">
        <v>60</v>
      </c>
      <c r="L82" t="s">
        <v>61</v>
      </c>
      <c r="M82">
        <v>2</v>
      </c>
      <c r="N82">
        <v>15667</v>
      </c>
      <c r="O82" s="2">
        <v>15</v>
      </c>
      <c r="P82" s="2">
        <v>26633.9</v>
      </c>
      <c r="Q82" s="2">
        <v>20862.72</v>
      </c>
      <c r="R82" s="2">
        <v>5771.18</v>
      </c>
      <c r="S82" t="s">
        <v>81</v>
      </c>
      <c r="T82">
        <v>3</v>
      </c>
      <c r="U82" t="s">
        <v>51</v>
      </c>
      <c r="V82" t="s">
        <v>116</v>
      </c>
      <c r="W82" s="3">
        <f>Table1[[#This Row],[Profit]]/Table1[[#This Row],[Sales]]</f>
        <v>0.21668550231096459</v>
      </c>
      <c r="X82" t="str">
        <f>IF(Table1[[#This Row],[Sales]]&gt;=30000,"High Value",IF(Table1[[#This Row],[Sales]]&gt;=15000,"Medium Value","Low Value"))</f>
        <v>Medium Value</v>
      </c>
      <c r="Y82" t="str">
        <f>IF(Table1[[#This Row],[Quantity]]&gt;=3,"Bulk Order","Regular Order")</f>
        <v>Regular Order</v>
      </c>
      <c r="Z82" t="str">
        <f>TEXT(Table1[[#This Row],[Order Date]],"dddd")</f>
        <v>Sunday</v>
      </c>
    </row>
    <row r="83" spans="1:26" ht="14.4" x14ac:dyDescent="0.3">
      <c r="A83" t="s">
        <v>343</v>
      </c>
      <c r="B83" t="s">
        <v>344</v>
      </c>
      <c r="C83" s="2">
        <v>46154</v>
      </c>
      <c r="D83" t="s">
        <v>28</v>
      </c>
      <c r="E83" t="s">
        <v>66</v>
      </c>
      <c r="F83" t="s">
        <v>345</v>
      </c>
      <c r="G83" t="s">
        <v>239</v>
      </c>
      <c r="H83" t="s">
        <v>46</v>
      </c>
      <c r="I83" t="s">
        <v>33</v>
      </c>
      <c r="J83" t="s">
        <v>47</v>
      </c>
      <c r="K83" t="s">
        <v>69</v>
      </c>
      <c r="L83" t="s">
        <v>70</v>
      </c>
      <c r="M83">
        <v>1</v>
      </c>
      <c r="N83">
        <v>8748</v>
      </c>
      <c r="O83" s="2">
        <v>10</v>
      </c>
      <c r="P83" s="2">
        <v>7873.2</v>
      </c>
      <c r="Q83" s="2">
        <v>6445.85</v>
      </c>
      <c r="R83" s="2">
        <v>1427.35</v>
      </c>
      <c r="S83" t="s">
        <v>50</v>
      </c>
      <c r="T83">
        <v>5</v>
      </c>
      <c r="U83" t="s">
        <v>51</v>
      </c>
      <c r="V83" t="s">
        <v>39</v>
      </c>
      <c r="W83" s="3">
        <f>Table1[[#This Row],[Profit]]/Table1[[#This Row],[Sales]]</f>
        <v>0.18129223187522225</v>
      </c>
      <c r="X83" t="str">
        <f>IF(Table1[[#This Row],[Sales]]&gt;=30000,"High Value",IF(Table1[[#This Row],[Sales]]&gt;=15000,"Medium Value","Low Value"))</f>
        <v>Low Value</v>
      </c>
      <c r="Y83" t="str">
        <f>IF(Table1[[#This Row],[Quantity]]&gt;=3,"Bulk Order","Regular Order")</f>
        <v>Regular Order</v>
      </c>
      <c r="Z83" t="str">
        <f>TEXT(Table1[[#This Row],[Order Date]],"dddd")</f>
        <v>Tuesday</v>
      </c>
    </row>
    <row r="84" spans="1:26" ht="14.4" x14ac:dyDescent="0.3">
      <c r="A84" t="s">
        <v>346</v>
      </c>
      <c r="B84" t="s">
        <v>347</v>
      </c>
      <c r="C84" s="2">
        <v>46193</v>
      </c>
      <c r="D84" t="s">
        <v>42</v>
      </c>
      <c r="E84" t="s">
        <v>78</v>
      </c>
      <c r="F84" t="s">
        <v>144</v>
      </c>
      <c r="G84" t="s">
        <v>311</v>
      </c>
      <c r="H84" t="s">
        <v>46</v>
      </c>
      <c r="I84" t="s">
        <v>58</v>
      </c>
      <c r="J84" t="s">
        <v>59</v>
      </c>
      <c r="K84" t="s">
        <v>95</v>
      </c>
      <c r="L84" t="s">
        <v>36</v>
      </c>
      <c r="M84">
        <v>4</v>
      </c>
      <c r="N84">
        <v>15607</v>
      </c>
      <c r="O84" s="2">
        <v>10</v>
      </c>
      <c r="P84" s="2">
        <v>56185.2</v>
      </c>
      <c r="Q84" s="2">
        <v>44945.99</v>
      </c>
      <c r="R84" s="2">
        <v>11239.21</v>
      </c>
      <c r="S84" t="s">
        <v>50</v>
      </c>
      <c r="T84">
        <v>5</v>
      </c>
      <c r="U84" t="s">
        <v>51</v>
      </c>
      <c r="V84" t="s">
        <v>75</v>
      </c>
      <c r="W84" s="3">
        <f>Table1[[#This Row],[Profit]]/Table1[[#This Row],[Sales]]</f>
        <v>0.20003862227063354</v>
      </c>
      <c r="X84" t="str">
        <f>IF(Table1[[#This Row],[Sales]]&gt;=30000,"High Value",IF(Table1[[#This Row],[Sales]]&gt;=15000,"Medium Value","Low Value"))</f>
        <v>High Value</v>
      </c>
      <c r="Y84" t="str">
        <f>IF(Table1[[#This Row],[Quantity]]&gt;=3,"Bulk Order","Regular Order")</f>
        <v>Bulk Order</v>
      </c>
      <c r="Z84" t="str">
        <f>TEXT(Table1[[#This Row],[Order Date]],"dddd")</f>
        <v>Saturday</v>
      </c>
    </row>
    <row r="85" spans="1:26" ht="14.4" x14ac:dyDescent="0.3">
      <c r="A85" t="s">
        <v>348</v>
      </c>
      <c r="B85" t="s">
        <v>349</v>
      </c>
      <c r="C85" s="2">
        <v>46147</v>
      </c>
      <c r="D85" t="s">
        <v>28</v>
      </c>
      <c r="E85" t="s">
        <v>55</v>
      </c>
      <c r="F85" t="s">
        <v>350</v>
      </c>
      <c r="G85" t="s">
        <v>193</v>
      </c>
      <c r="H85" t="s">
        <v>32</v>
      </c>
      <c r="I85" t="s">
        <v>33</v>
      </c>
      <c r="J85" t="s">
        <v>47</v>
      </c>
      <c r="K85" t="s">
        <v>69</v>
      </c>
      <c r="L85" t="s">
        <v>70</v>
      </c>
      <c r="M85">
        <v>2</v>
      </c>
      <c r="N85">
        <v>8233</v>
      </c>
      <c r="O85" s="2">
        <v>15</v>
      </c>
      <c r="P85" s="2">
        <v>13996.1</v>
      </c>
      <c r="Q85" s="2">
        <v>11230.44</v>
      </c>
      <c r="R85" s="2">
        <v>2765.66</v>
      </c>
      <c r="S85" t="s">
        <v>50</v>
      </c>
      <c r="T85">
        <v>5</v>
      </c>
      <c r="U85" t="s">
        <v>51</v>
      </c>
      <c r="V85" t="s">
        <v>86</v>
      </c>
      <c r="W85" s="3">
        <f>Table1[[#This Row],[Profit]]/Table1[[#This Row],[Sales]]</f>
        <v>0.1976021891812719</v>
      </c>
      <c r="X85" t="str">
        <f>IF(Table1[[#This Row],[Sales]]&gt;=30000,"High Value",IF(Table1[[#This Row],[Sales]]&gt;=15000,"Medium Value","Low Value"))</f>
        <v>Low Value</v>
      </c>
      <c r="Y85" t="str">
        <f>IF(Table1[[#This Row],[Quantity]]&gt;=3,"Bulk Order","Regular Order")</f>
        <v>Regular Order</v>
      </c>
      <c r="Z85" t="str">
        <f>TEXT(Table1[[#This Row],[Order Date]],"dddd")</f>
        <v>Tuesday</v>
      </c>
    </row>
    <row r="86" spans="1:26" ht="14.4" x14ac:dyDescent="0.3">
      <c r="A86" t="s">
        <v>351</v>
      </c>
      <c r="B86" t="s">
        <v>352</v>
      </c>
      <c r="C86" s="2">
        <v>46159</v>
      </c>
      <c r="D86" t="s">
        <v>28</v>
      </c>
      <c r="E86" t="s">
        <v>29</v>
      </c>
      <c r="F86" t="s">
        <v>79</v>
      </c>
      <c r="G86" t="s">
        <v>120</v>
      </c>
      <c r="H86" t="s">
        <v>46</v>
      </c>
      <c r="I86" t="s">
        <v>33</v>
      </c>
      <c r="J86" t="s">
        <v>47</v>
      </c>
      <c r="K86" t="s">
        <v>69</v>
      </c>
      <c r="L86" t="s">
        <v>70</v>
      </c>
      <c r="M86">
        <v>2</v>
      </c>
      <c r="N86">
        <v>8708</v>
      </c>
      <c r="O86" s="2">
        <v>10</v>
      </c>
      <c r="P86" s="2">
        <v>15674.4</v>
      </c>
      <c r="Q86" s="2">
        <v>12613.18</v>
      </c>
      <c r="R86" s="2">
        <v>3061.22</v>
      </c>
      <c r="S86" t="s">
        <v>50</v>
      </c>
      <c r="T86">
        <v>4</v>
      </c>
      <c r="U86" t="s">
        <v>38</v>
      </c>
      <c r="V86" t="s">
        <v>86</v>
      </c>
      <c r="W86" s="3">
        <f>Table1[[#This Row],[Profit]]/Table1[[#This Row],[Sales]]</f>
        <v>0.19530061756749859</v>
      </c>
      <c r="X86" t="str">
        <f>IF(Table1[[#This Row],[Sales]]&gt;=30000,"High Value",IF(Table1[[#This Row],[Sales]]&gt;=15000,"Medium Value","Low Value"))</f>
        <v>Medium Value</v>
      </c>
      <c r="Y86" t="str">
        <f>IF(Table1[[#This Row],[Quantity]]&gt;=3,"Bulk Order","Regular Order")</f>
        <v>Regular Order</v>
      </c>
      <c r="Z86" t="str">
        <f>TEXT(Table1[[#This Row],[Order Date]],"dddd")</f>
        <v>Sunday</v>
      </c>
    </row>
    <row r="87" spans="1:26" ht="14.4" x14ac:dyDescent="0.3">
      <c r="A87" t="s">
        <v>353</v>
      </c>
      <c r="B87" t="s">
        <v>354</v>
      </c>
      <c r="C87" s="2">
        <v>46154</v>
      </c>
      <c r="D87" t="s">
        <v>28</v>
      </c>
      <c r="E87" t="s">
        <v>55</v>
      </c>
      <c r="F87" t="s">
        <v>355</v>
      </c>
      <c r="G87" t="s">
        <v>198</v>
      </c>
      <c r="H87" t="s">
        <v>32</v>
      </c>
      <c r="I87" t="s">
        <v>33</v>
      </c>
      <c r="J87" t="s">
        <v>59</v>
      </c>
      <c r="K87" t="s">
        <v>95</v>
      </c>
      <c r="L87" t="s">
        <v>36</v>
      </c>
      <c r="M87">
        <v>2</v>
      </c>
      <c r="N87">
        <v>16099</v>
      </c>
      <c r="O87" s="2">
        <v>0</v>
      </c>
      <c r="P87" s="2">
        <v>32198</v>
      </c>
      <c r="Q87" s="2">
        <v>25207.25</v>
      </c>
      <c r="R87" s="2">
        <v>6990.75</v>
      </c>
      <c r="S87" t="s">
        <v>81</v>
      </c>
      <c r="T87">
        <v>4</v>
      </c>
      <c r="U87" t="s">
        <v>51</v>
      </c>
      <c r="V87" t="s">
        <v>75</v>
      </c>
      <c r="W87" s="3">
        <f>Table1[[#This Row],[Profit]]/Table1[[#This Row],[Sales]]</f>
        <v>0.21711752282750482</v>
      </c>
      <c r="X87" t="str">
        <f>IF(Table1[[#This Row],[Sales]]&gt;=30000,"High Value",IF(Table1[[#This Row],[Sales]]&gt;=15000,"Medium Value","Low Value"))</f>
        <v>High Value</v>
      </c>
      <c r="Y87" t="str">
        <f>IF(Table1[[#This Row],[Quantity]]&gt;=3,"Bulk Order","Regular Order")</f>
        <v>Regular Order</v>
      </c>
      <c r="Z87" t="str">
        <f>TEXT(Table1[[#This Row],[Order Date]],"dddd")</f>
        <v>Tuesday</v>
      </c>
    </row>
    <row r="88" spans="1:26" ht="14.4" x14ac:dyDescent="0.3">
      <c r="A88" t="s">
        <v>356</v>
      </c>
      <c r="B88" t="s">
        <v>357</v>
      </c>
      <c r="C88" s="2">
        <v>46202</v>
      </c>
      <c r="D88" t="s">
        <v>42</v>
      </c>
      <c r="E88" t="s">
        <v>78</v>
      </c>
      <c r="F88" t="s">
        <v>358</v>
      </c>
      <c r="G88" t="s">
        <v>311</v>
      </c>
      <c r="H88" t="s">
        <v>46</v>
      </c>
      <c r="I88" t="s">
        <v>33</v>
      </c>
      <c r="J88" t="s">
        <v>59</v>
      </c>
      <c r="K88" t="s">
        <v>95</v>
      </c>
      <c r="L88" t="s">
        <v>36</v>
      </c>
      <c r="M88">
        <v>2</v>
      </c>
      <c r="N88">
        <v>15729</v>
      </c>
      <c r="O88" s="2">
        <v>10</v>
      </c>
      <c r="P88" s="2">
        <v>28312.2</v>
      </c>
      <c r="Q88" s="2">
        <v>22879.85</v>
      </c>
      <c r="R88" s="2">
        <v>5432.35</v>
      </c>
      <c r="S88" t="s">
        <v>37</v>
      </c>
      <c r="T88">
        <v>4</v>
      </c>
      <c r="U88" t="s">
        <v>51</v>
      </c>
      <c r="V88" t="s">
        <v>52</v>
      </c>
      <c r="W88" s="3">
        <f>Table1[[#This Row],[Profit]]/Table1[[#This Row],[Sales]]</f>
        <v>0.19187311477031105</v>
      </c>
      <c r="X88" t="str">
        <f>IF(Table1[[#This Row],[Sales]]&gt;=30000,"High Value",IF(Table1[[#This Row],[Sales]]&gt;=15000,"Medium Value","Low Value"))</f>
        <v>Medium Value</v>
      </c>
      <c r="Y88" t="str">
        <f>IF(Table1[[#This Row],[Quantity]]&gt;=3,"Bulk Order","Regular Order")</f>
        <v>Regular Order</v>
      </c>
      <c r="Z88" t="str">
        <f>TEXT(Table1[[#This Row],[Order Date]],"dddd")</f>
        <v>Monday</v>
      </c>
    </row>
    <row r="89" spans="1:26" ht="14.4" x14ac:dyDescent="0.3">
      <c r="A89" t="s">
        <v>359</v>
      </c>
      <c r="B89" t="s">
        <v>360</v>
      </c>
      <c r="C89" s="2">
        <v>46158</v>
      </c>
      <c r="D89" t="s">
        <v>28</v>
      </c>
      <c r="E89" t="s">
        <v>102</v>
      </c>
      <c r="F89" t="s">
        <v>361</v>
      </c>
      <c r="G89" t="s">
        <v>249</v>
      </c>
      <c r="H89" t="s">
        <v>32</v>
      </c>
      <c r="I89" t="s">
        <v>58</v>
      </c>
      <c r="J89" t="s">
        <v>47</v>
      </c>
      <c r="K89" t="s">
        <v>69</v>
      </c>
      <c r="L89" t="s">
        <v>70</v>
      </c>
      <c r="M89">
        <v>5</v>
      </c>
      <c r="N89">
        <v>7630</v>
      </c>
      <c r="O89" s="2">
        <v>0</v>
      </c>
      <c r="P89" s="2">
        <v>38150</v>
      </c>
      <c r="Q89" s="2">
        <v>29830.95</v>
      </c>
      <c r="R89" s="2">
        <v>8319.0499999999993</v>
      </c>
      <c r="S89" t="s">
        <v>50</v>
      </c>
      <c r="T89">
        <v>4</v>
      </c>
      <c r="U89" t="s">
        <v>38</v>
      </c>
      <c r="V89" t="s">
        <v>86</v>
      </c>
      <c r="W89" s="3">
        <f>Table1[[#This Row],[Profit]]/Table1[[#This Row],[Sales]]</f>
        <v>0.2180615989515072</v>
      </c>
      <c r="X89" t="str">
        <f>IF(Table1[[#This Row],[Sales]]&gt;=30000,"High Value",IF(Table1[[#This Row],[Sales]]&gt;=15000,"Medium Value","Low Value"))</f>
        <v>High Value</v>
      </c>
      <c r="Y89" t="str">
        <f>IF(Table1[[#This Row],[Quantity]]&gt;=3,"Bulk Order","Regular Order")</f>
        <v>Bulk Order</v>
      </c>
      <c r="Z89" t="str">
        <f>TEXT(Table1[[#This Row],[Order Date]],"dddd")</f>
        <v>Saturday</v>
      </c>
    </row>
    <row r="90" spans="1:26" ht="14.4" x14ac:dyDescent="0.3">
      <c r="A90" t="s">
        <v>362</v>
      </c>
      <c r="B90" t="s">
        <v>363</v>
      </c>
      <c r="C90" s="2">
        <v>46171</v>
      </c>
      <c r="D90" t="s">
        <v>28</v>
      </c>
      <c r="E90" t="s">
        <v>78</v>
      </c>
      <c r="F90" t="s">
        <v>103</v>
      </c>
      <c r="G90" t="s">
        <v>168</v>
      </c>
      <c r="H90" t="s">
        <v>32</v>
      </c>
      <c r="I90" t="s">
        <v>58</v>
      </c>
      <c r="J90" t="s">
        <v>59</v>
      </c>
      <c r="K90" t="s">
        <v>60</v>
      </c>
      <c r="L90" t="s">
        <v>61</v>
      </c>
      <c r="M90">
        <v>4</v>
      </c>
      <c r="N90">
        <v>16615</v>
      </c>
      <c r="O90" s="2">
        <v>15</v>
      </c>
      <c r="P90" s="2">
        <v>56491</v>
      </c>
      <c r="Q90" s="2">
        <v>45738.16</v>
      </c>
      <c r="R90" s="2">
        <v>10752.84</v>
      </c>
      <c r="S90" t="s">
        <v>37</v>
      </c>
      <c r="T90">
        <v>4</v>
      </c>
      <c r="U90" t="s">
        <v>51</v>
      </c>
      <c r="V90" t="s">
        <v>86</v>
      </c>
      <c r="W90" s="3">
        <f>Table1[[#This Row],[Profit]]/Table1[[#This Row],[Sales]]</f>
        <v>0.19034607282575985</v>
      </c>
      <c r="X90" t="str">
        <f>IF(Table1[[#This Row],[Sales]]&gt;=30000,"High Value",IF(Table1[[#This Row],[Sales]]&gt;=15000,"Medium Value","Low Value"))</f>
        <v>High Value</v>
      </c>
      <c r="Y90" t="str">
        <f>IF(Table1[[#This Row],[Quantity]]&gt;=3,"Bulk Order","Regular Order")</f>
        <v>Bulk Order</v>
      </c>
      <c r="Z90" t="str">
        <f>TEXT(Table1[[#This Row],[Order Date]],"dddd")</f>
        <v>Friday</v>
      </c>
    </row>
    <row r="91" spans="1:26" ht="14.4" x14ac:dyDescent="0.3">
      <c r="A91" t="s">
        <v>364</v>
      </c>
      <c r="B91" t="s">
        <v>365</v>
      </c>
      <c r="C91" s="2">
        <v>46191</v>
      </c>
      <c r="D91" t="s">
        <v>42</v>
      </c>
      <c r="E91" t="s">
        <v>55</v>
      </c>
      <c r="F91" t="s">
        <v>366</v>
      </c>
      <c r="G91" t="s">
        <v>148</v>
      </c>
      <c r="H91" t="s">
        <v>32</v>
      </c>
      <c r="I91" t="s">
        <v>33</v>
      </c>
      <c r="J91" t="s">
        <v>34</v>
      </c>
      <c r="K91" t="s">
        <v>35</v>
      </c>
      <c r="L91" t="s">
        <v>36</v>
      </c>
      <c r="M91">
        <v>1</v>
      </c>
      <c r="N91">
        <v>11524</v>
      </c>
      <c r="O91" s="2">
        <v>15</v>
      </c>
      <c r="P91" s="2">
        <v>9795.4</v>
      </c>
      <c r="Q91" s="2">
        <v>7947.42</v>
      </c>
      <c r="R91" s="2">
        <v>1847.98</v>
      </c>
      <c r="S91" t="s">
        <v>81</v>
      </c>
      <c r="T91">
        <v>5</v>
      </c>
      <c r="U91" t="s">
        <v>51</v>
      </c>
      <c r="V91" t="s">
        <v>75</v>
      </c>
      <c r="W91" s="3">
        <f>Table1[[#This Row],[Profit]]/Table1[[#This Row],[Sales]]</f>
        <v>0.18865794148273679</v>
      </c>
      <c r="X91" t="str">
        <f>IF(Table1[[#This Row],[Sales]]&gt;=30000,"High Value",IF(Table1[[#This Row],[Sales]]&gt;=15000,"Medium Value","Low Value"))</f>
        <v>Low Value</v>
      </c>
      <c r="Y91" t="str">
        <f>IF(Table1[[#This Row],[Quantity]]&gt;=3,"Bulk Order","Regular Order")</f>
        <v>Regular Order</v>
      </c>
      <c r="Z91" t="str">
        <f>TEXT(Table1[[#This Row],[Order Date]],"dddd")</f>
        <v>Thursday</v>
      </c>
    </row>
    <row r="92" spans="1:26" ht="14.4" x14ac:dyDescent="0.3">
      <c r="A92" t="s">
        <v>367</v>
      </c>
      <c r="B92" t="s">
        <v>368</v>
      </c>
      <c r="C92" s="2">
        <v>46177</v>
      </c>
      <c r="D92" t="s">
        <v>42</v>
      </c>
      <c r="E92" t="s">
        <v>55</v>
      </c>
      <c r="F92" t="s">
        <v>277</v>
      </c>
      <c r="G92" t="s">
        <v>57</v>
      </c>
      <c r="H92" t="s">
        <v>46</v>
      </c>
      <c r="I92" t="s">
        <v>33</v>
      </c>
      <c r="J92" t="s">
        <v>59</v>
      </c>
      <c r="K92" t="s">
        <v>60</v>
      </c>
      <c r="L92" t="s">
        <v>61</v>
      </c>
      <c r="M92">
        <v>2</v>
      </c>
      <c r="N92">
        <v>15925</v>
      </c>
      <c r="O92" s="2">
        <v>10</v>
      </c>
      <c r="P92" s="2">
        <v>28665</v>
      </c>
      <c r="Q92" s="2">
        <v>23496.73</v>
      </c>
      <c r="R92" s="2">
        <v>5168.2700000000004</v>
      </c>
      <c r="S92" t="s">
        <v>37</v>
      </c>
      <c r="T92">
        <v>5</v>
      </c>
      <c r="U92" t="s">
        <v>90</v>
      </c>
      <c r="V92" t="s">
        <v>63</v>
      </c>
      <c r="W92" s="3">
        <f>Table1[[#This Row],[Profit]]/Table1[[#This Row],[Sales]]</f>
        <v>0.18029897087039945</v>
      </c>
      <c r="X92" t="str">
        <f>IF(Table1[[#This Row],[Sales]]&gt;=30000,"High Value",IF(Table1[[#This Row],[Sales]]&gt;=15000,"Medium Value","Low Value"))</f>
        <v>Medium Value</v>
      </c>
      <c r="Y92" t="str">
        <f>IF(Table1[[#This Row],[Quantity]]&gt;=3,"Bulk Order","Regular Order")</f>
        <v>Regular Order</v>
      </c>
      <c r="Z92" t="str">
        <f>TEXT(Table1[[#This Row],[Order Date]],"dddd")</f>
        <v>Thursday</v>
      </c>
    </row>
    <row r="93" spans="1:26" ht="14.4" x14ac:dyDescent="0.3">
      <c r="A93" t="s">
        <v>369</v>
      </c>
      <c r="B93" t="s">
        <v>370</v>
      </c>
      <c r="C93" s="2">
        <v>46146</v>
      </c>
      <c r="D93" t="s">
        <v>28</v>
      </c>
      <c r="E93" t="s">
        <v>55</v>
      </c>
      <c r="F93" t="s">
        <v>214</v>
      </c>
      <c r="G93" t="s">
        <v>94</v>
      </c>
      <c r="H93" t="s">
        <v>46</v>
      </c>
      <c r="I93" t="s">
        <v>33</v>
      </c>
      <c r="J93" t="s">
        <v>59</v>
      </c>
      <c r="K93" t="s">
        <v>95</v>
      </c>
      <c r="L93" t="s">
        <v>36</v>
      </c>
      <c r="M93">
        <v>1</v>
      </c>
      <c r="N93">
        <v>16389</v>
      </c>
      <c r="O93" s="2">
        <v>0</v>
      </c>
      <c r="P93" s="2">
        <v>16389</v>
      </c>
      <c r="Q93" s="2">
        <v>12866.02</v>
      </c>
      <c r="R93" s="2">
        <v>3522.98</v>
      </c>
      <c r="S93" t="s">
        <v>37</v>
      </c>
      <c r="T93">
        <v>5</v>
      </c>
      <c r="U93" t="s">
        <v>51</v>
      </c>
      <c r="V93" t="s">
        <v>39</v>
      </c>
      <c r="W93" s="3">
        <f>Table1[[#This Row],[Profit]]/Table1[[#This Row],[Sales]]</f>
        <v>0.21496003416925988</v>
      </c>
      <c r="X93" t="str">
        <f>IF(Table1[[#This Row],[Sales]]&gt;=30000,"High Value",IF(Table1[[#This Row],[Sales]]&gt;=15000,"Medium Value","Low Value"))</f>
        <v>Medium Value</v>
      </c>
      <c r="Y93" t="str">
        <f>IF(Table1[[#This Row],[Quantity]]&gt;=3,"Bulk Order","Regular Order")</f>
        <v>Regular Order</v>
      </c>
      <c r="Z93" t="str">
        <f>TEXT(Table1[[#This Row],[Order Date]],"dddd")</f>
        <v>Monday</v>
      </c>
    </row>
    <row r="94" spans="1:26" ht="14.4" x14ac:dyDescent="0.3">
      <c r="A94" t="s">
        <v>371</v>
      </c>
      <c r="B94" t="s">
        <v>372</v>
      </c>
      <c r="C94" s="2">
        <v>46165</v>
      </c>
      <c r="D94" t="s">
        <v>28</v>
      </c>
      <c r="E94" t="s">
        <v>29</v>
      </c>
      <c r="F94" t="s">
        <v>242</v>
      </c>
      <c r="G94" t="s">
        <v>283</v>
      </c>
      <c r="H94" t="s">
        <v>32</v>
      </c>
      <c r="I94" t="s">
        <v>33</v>
      </c>
      <c r="J94" t="s">
        <v>59</v>
      </c>
      <c r="K94" t="s">
        <v>60</v>
      </c>
      <c r="L94" t="s">
        <v>61</v>
      </c>
      <c r="M94">
        <v>2</v>
      </c>
      <c r="N94">
        <v>16159</v>
      </c>
      <c r="O94" s="2">
        <v>15</v>
      </c>
      <c r="P94" s="2">
        <v>27470.3</v>
      </c>
      <c r="Q94" s="2">
        <v>22011.07</v>
      </c>
      <c r="R94" s="2">
        <v>5459.23</v>
      </c>
      <c r="S94" t="s">
        <v>81</v>
      </c>
      <c r="T94">
        <v>5</v>
      </c>
      <c r="U94" t="s">
        <v>51</v>
      </c>
      <c r="V94" t="s">
        <v>52</v>
      </c>
      <c r="W94" s="3">
        <f>Table1[[#This Row],[Profit]]/Table1[[#This Row],[Sales]]</f>
        <v>0.19873208519746779</v>
      </c>
      <c r="X94" t="str">
        <f>IF(Table1[[#This Row],[Sales]]&gt;=30000,"High Value",IF(Table1[[#This Row],[Sales]]&gt;=15000,"Medium Value","Low Value"))</f>
        <v>Medium Value</v>
      </c>
      <c r="Y94" t="str">
        <f>IF(Table1[[#This Row],[Quantity]]&gt;=3,"Bulk Order","Regular Order")</f>
        <v>Regular Order</v>
      </c>
      <c r="Z94" t="str">
        <f>TEXT(Table1[[#This Row],[Order Date]],"dddd")</f>
        <v>Saturday</v>
      </c>
    </row>
    <row r="95" spans="1:26" ht="14.4" x14ac:dyDescent="0.3">
      <c r="A95" t="s">
        <v>373</v>
      </c>
      <c r="B95" t="s">
        <v>374</v>
      </c>
      <c r="C95" s="2">
        <v>46162</v>
      </c>
      <c r="D95" t="s">
        <v>28</v>
      </c>
      <c r="E95" t="s">
        <v>29</v>
      </c>
      <c r="F95" t="s">
        <v>248</v>
      </c>
      <c r="G95" t="s">
        <v>375</v>
      </c>
      <c r="H95" t="s">
        <v>32</v>
      </c>
      <c r="I95" t="s">
        <v>58</v>
      </c>
      <c r="J95" t="s">
        <v>59</v>
      </c>
      <c r="K95" t="s">
        <v>60</v>
      </c>
      <c r="L95" t="s">
        <v>61</v>
      </c>
      <c r="M95">
        <v>5</v>
      </c>
      <c r="N95">
        <v>16491</v>
      </c>
      <c r="O95" s="2">
        <v>0</v>
      </c>
      <c r="P95" s="2">
        <v>82455</v>
      </c>
      <c r="Q95" s="2">
        <v>66483.67</v>
      </c>
      <c r="R95" s="2">
        <v>15971.33</v>
      </c>
      <c r="S95" t="s">
        <v>50</v>
      </c>
      <c r="T95">
        <v>5</v>
      </c>
      <c r="U95" t="s">
        <v>51</v>
      </c>
      <c r="V95" t="s">
        <v>63</v>
      </c>
      <c r="W95" s="3">
        <f>Table1[[#This Row],[Profit]]/Table1[[#This Row],[Sales]]</f>
        <v>0.19369753198714451</v>
      </c>
      <c r="X95" t="str">
        <f>IF(Table1[[#This Row],[Sales]]&gt;=30000,"High Value",IF(Table1[[#This Row],[Sales]]&gt;=15000,"Medium Value","Low Value"))</f>
        <v>High Value</v>
      </c>
      <c r="Y95" t="str">
        <f>IF(Table1[[#This Row],[Quantity]]&gt;=3,"Bulk Order","Regular Order")</f>
        <v>Bulk Order</v>
      </c>
      <c r="Z95" t="str">
        <f>TEXT(Table1[[#This Row],[Order Date]],"dddd")</f>
        <v>Wednesday</v>
      </c>
    </row>
    <row r="96" spans="1:26" ht="14.4" x14ac:dyDescent="0.3">
      <c r="A96" t="s">
        <v>376</v>
      </c>
      <c r="B96" t="s">
        <v>377</v>
      </c>
      <c r="C96" s="2">
        <v>46166</v>
      </c>
      <c r="D96" t="s">
        <v>28</v>
      </c>
      <c r="E96" t="s">
        <v>55</v>
      </c>
      <c r="F96" t="s">
        <v>378</v>
      </c>
      <c r="G96" t="s">
        <v>286</v>
      </c>
      <c r="H96" t="s">
        <v>46</v>
      </c>
      <c r="I96" t="s">
        <v>58</v>
      </c>
      <c r="J96" t="s">
        <v>34</v>
      </c>
      <c r="K96" t="s">
        <v>35</v>
      </c>
      <c r="L96" t="s">
        <v>36</v>
      </c>
      <c r="M96">
        <v>5</v>
      </c>
      <c r="N96">
        <v>13286</v>
      </c>
      <c r="O96" s="2">
        <v>10</v>
      </c>
      <c r="P96" s="2">
        <v>59787</v>
      </c>
      <c r="Q96" s="2">
        <v>46666.09</v>
      </c>
      <c r="R96" s="2">
        <v>13120.91</v>
      </c>
      <c r="S96" t="s">
        <v>37</v>
      </c>
      <c r="T96">
        <v>5</v>
      </c>
      <c r="U96" t="s">
        <v>51</v>
      </c>
      <c r="V96" t="s">
        <v>75</v>
      </c>
      <c r="W96" s="3">
        <f>Table1[[#This Row],[Profit]]/Table1[[#This Row],[Sales]]</f>
        <v>0.2194609195979059</v>
      </c>
      <c r="X96" t="str">
        <f>IF(Table1[[#This Row],[Sales]]&gt;=30000,"High Value",IF(Table1[[#This Row],[Sales]]&gt;=15000,"Medium Value","Low Value"))</f>
        <v>High Value</v>
      </c>
      <c r="Y96" t="str">
        <f>IF(Table1[[#This Row],[Quantity]]&gt;=3,"Bulk Order","Regular Order")</f>
        <v>Bulk Order</v>
      </c>
      <c r="Z96" t="str">
        <f>TEXT(Table1[[#This Row],[Order Date]],"dddd")</f>
        <v>Sunday</v>
      </c>
    </row>
    <row r="97" spans="1:26" ht="14.4" x14ac:dyDescent="0.3">
      <c r="A97" t="s">
        <v>379</v>
      </c>
      <c r="B97" t="s">
        <v>380</v>
      </c>
      <c r="C97" s="2">
        <v>46161</v>
      </c>
      <c r="D97" t="s">
        <v>28</v>
      </c>
      <c r="E97" t="s">
        <v>133</v>
      </c>
      <c r="F97" t="s">
        <v>260</v>
      </c>
      <c r="G97" t="s">
        <v>292</v>
      </c>
      <c r="H97" t="s">
        <v>46</v>
      </c>
      <c r="I97" t="s">
        <v>33</v>
      </c>
      <c r="J97" t="s">
        <v>59</v>
      </c>
      <c r="K97" t="s">
        <v>95</v>
      </c>
      <c r="L97" t="s">
        <v>36</v>
      </c>
      <c r="M97">
        <v>1</v>
      </c>
      <c r="N97">
        <v>16428</v>
      </c>
      <c r="O97" s="2">
        <v>10</v>
      </c>
      <c r="P97" s="2">
        <v>14785.2</v>
      </c>
      <c r="Q97" s="2">
        <v>11609.77</v>
      </c>
      <c r="R97" s="2">
        <v>3175.43</v>
      </c>
      <c r="S97" t="s">
        <v>62</v>
      </c>
      <c r="T97">
        <v>3</v>
      </c>
      <c r="U97" t="s">
        <v>51</v>
      </c>
      <c r="V97" t="s">
        <v>86</v>
      </c>
      <c r="W97" s="3">
        <f>Table1[[#This Row],[Profit]]/Table1[[#This Row],[Sales]]</f>
        <v>0.21477085193301407</v>
      </c>
      <c r="X97" t="str">
        <f>IF(Table1[[#This Row],[Sales]]&gt;=30000,"High Value",IF(Table1[[#This Row],[Sales]]&gt;=15000,"Medium Value","Low Value"))</f>
        <v>Low Value</v>
      </c>
      <c r="Y97" t="str">
        <f>IF(Table1[[#This Row],[Quantity]]&gt;=3,"Bulk Order","Regular Order")</f>
        <v>Regular Order</v>
      </c>
      <c r="Z97" t="str">
        <f>TEXT(Table1[[#This Row],[Order Date]],"dddd")</f>
        <v>Tuesday</v>
      </c>
    </row>
    <row r="98" spans="1:26" ht="14.4" x14ac:dyDescent="0.3">
      <c r="A98" t="s">
        <v>381</v>
      </c>
      <c r="B98" t="s">
        <v>382</v>
      </c>
      <c r="C98" s="2">
        <v>46176</v>
      </c>
      <c r="D98" t="s">
        <v>42</v>
      </c>
      <c r="E98" t="s">
        <v>78</v>
      </c>
      <c r="F98" t="s">
        <v>383</v>
      </c>
      <c r="G98" t="s">
        <v>161</v>
      </c>
      <c r="H98" t="s">
        <v>32</v>
      </c>
      <c r="I98" t="s">
        <v>58</v>
      </c>
      <c r="J98" t="s">
        <v>169</v>
      </c>
      <c r="K98" t="s">
        <v>170</v>
      </c>
      <c r="L98" t="s">
        <v>171</v>
      </c>
      <c r="M98">
        <v>5</v>
      </c>
      <c r="N98">
        <v>9566</v>
      </c>
      <c r="O98" s="2">
        <v>10</v>
      </c>
      <c r="P98" s="2">
        <v>43047</v>
      </c>
      <c r="Q98" s="2">
        <v>34184.19</v>
      </c>
      <c r="R98" s="2">
        <v>8862.81</v>
      </c>
      <c r="S98" t="s">
        <v>37</v>
      </c>
      <c r="T98">
        <v>5</v>
      </c>
      <c r="U98" t="s">
        <v>38</v>
      </c>
      <c r="V98" t="s">
        <v>86</v>
      </c>
      <c r="W98" s="3">
        <f>Table1[[#This Row],[Profit]]/Table1[[#This Row],[Sales]]</f>
        <v>0.20588682138128092</v>
      </c>
      <c r="X98" t="str">
        <f>IF(Table1[[#This Row],[Sales]]&gt;=30000,"High Value",IF(Table1[[#This Row],[Sales]]&gt;=15000,"Medium Value","Low Value"))</f>
        <v>High Value</v>
      </c>
      <c r="Y98" t="str">
        <f>IF(Table1[[#This Row],[Quantity]]&gt;=3,"Bulk Order","Regular Order")</f>
        <v>Bulk Order</v>
      </c>
      <c r="Z98" t="str">
        <f>TEXT(Table1[[#This Row],[Order Date]],"dddd")</f>
        <v>Wednesday</v>
      </c>
    </row>
    <row r="99" spans="1:26" ht="14.4" x14ac:dyDescent="0.3">
      <c r="A99" t="s">
        <v>384</v>
      </c>
      <c r="B99" t="s">
        <v>385</v>
      </c>
      <c r="C99" s="2">
        <v>46200</v>
      </c>
      <c r="D99" t="s">
        <v>42</v>
      </c>
      <c r="E99" t="s">
        <v>133</v>
      </c>
      <c r="F99" t="s">
        <v>386</v>
      </c>
      <c r="G99" t="s">
        <v>120</v>
      </c>
      <c r="H99" t="s">
        <v>46</v>
      </c>
      <c r="I99" t="s">
        <v>33</v>
      </c>
      <c r="J99" t="s">
        <v>59</v>
      </c>
      <c r="K99" t="s">
        <v>60</v>
      </c>
      <c r="L99" t="s">
        <v>61</v>
      </c>
      <c r="M99">
        <v>1</v>
      </c>
      <c r="N99">
        <v>17022</v>
      </c>
      <c r="O99" s="2">
        <v>5</v>
      </c>
      <c r="P99" s="2">
        <v>16170.9</v>
      </c>
      <c r="Q99" s="2">
        <v>13160.48</v>
      </c>
      <c r="R99" s="2">
        <v>3010.42</v>
      </c>
      <c r="S99" t="s">
        <v>81</v>
      </c>
      <c r="T99">
        <v>4</v>
      </c>
      <c r="U99" t="s">
        <v>51</v>
      </c>
      <c r="V99" t="s">
        <v>75</v>
      </c>
      <c r="W99" s="3">
        <f>Table1[[#This Row],[Profit]]/Table1[[#This Row],[Sales]]</f>
        <v>0.18616279860737497</v>
      </c>
      <c r="X99" t="str">
        <f>IF(Table1[[#This Row],[Sales]]&gt;=30000,"High Value",IF(Table1[[#This Row],[Sales]]&gt;=15000,"Medium Value","Low Value"))</f>
        <v>Medium Value</v>
      </c>
      <c r="Y99" t="str">
        <f>IF(Table1[[#This Row],[Quantity]]&gt;=3,"Bulk Order","Regular Order")</f>
        <v>Regular Order</v>
      </c>
      <c r="Z99" t="str">
        <f>TEXT(Table1[[#This Row],[Order Date]],"dddd")</f>
        <v>Saturday</v>
      </c>
    </row>
    <row r="100" spans="1:26" ht="14.4" x14ac:dyDescent="0.3">
      <c r="A100" t="s">
        <v>387</v>
      </c>
      <c r="B100" t="s">
        <v>388</v>
      </c>
      <c r="C100" s="2">
        <v>46193</v>
      </c>
      <c r="D100" t="s">
        <v>42</v>
      </c>
      <c r="E100" t="s">
        <v>55</v>
      </c>
      <c r="F100" t="s">
        <v>277</v>
      </c>
      <c r="G100" t="s">
        <v>389</v>
      </c>
      <c r="H100" t="s">
        <v>46</v>
      </c>
      <c r="I100" t="s">
        <v>33</v>
      </c>
      <c r="J100" t="s">
        <v>47</v>
      </c>
      <c r="K100" t="s">
        <v>69</v>
      </c>
      <c r="L100" t="s">
        <v>70</v>
      </c>
      <c r="M100">
        <v>2</v>
      </c>
      <c r="N100">
        <v>8195</v>
      </c>
      <c r="O100" s="2">
        <v>5</v>
      </c>
      <c r="P100" s="2">
        <v>15570.5</v>
      </c>
      <c r="Q100" s="2">
        <v>12394.42</v>
      </c>
      <c r="R100" s="2">
        <v>3176.08</v>
      </c>
      <c r="S100" t="s">
        <v>37</v>
      </c>
      <c r="T100">
        <v>4</v>
      </c>
      <c r="U100" t="s">
        <v>51</v>
      </c>
      <c r="V100" t="s">
        <v>75</v>
      </c>
      <c r="W100" s="3">
        <f>Table1[[#This Row],[Profit]]/Table1[[#This Row],[Sales]]</f>
        <v>0.20398060434796569</v>
      </c>
      <c r="X100" t="str">
        <f>IF(Table1[[#This Row],[Sales]]&gt;=30000,"High Value",IF(Table1[[#This Row],[Sales]]&gt;=15000,"Medium Value","Low Value"))</f>
        <v>Medium Value</v>
      </c>
      <c r="Y100" t="str">
        <f>IF(Table1[[#This Row],[Quantity]]&gt;=3,"Bulk Order","Regular Order")</f>
        <v>Regular Order</v>
      </c>
      <c r="Z100" t="str">
        <f>TEXT(Table1[[#This Row],[Order Date]],"dddd")</f>
        <v>Saturday</v>
      </c>
    </row>
    <row r="101" spans="1:26" ht="14.4" x14ac:dyDescent="0.3">
      <c r="A101" t="s">
        <v>390</v>
      </c>
      <c r="B101" t="s">
        <v>391</v>
      </c>
      <c r="C101" s="2">
        <v>46167</v>
      </c>
      <c r="D101" t="s">
        <v>28</v>
      </c>
      <c r="E101" t="s">
        <v>78</v>
      </c>
      <c r="F101" t="s">
        <v>392</v>
      </c>
      <c r="G101" t="s">
        <v>104</v>
      </c>
      <c r="H101" t="s">
        <v>32</v>
      </c>
      <c r="I101" t="s">
        <v>33</v>
      </c>
      <c r="J101" t="s">
        <v>47</v>
      </c>
      <c r="K101" t="s">
        <v>48</v>
      </c>
      <c r="L101" t="s">
        <v>49</v>
      </c>
      <c r="M101">
        <v>1</v>
      </c>
      <c r="N101">
        <v>8023</v>
      </c>
      <c r="O101" s="2">
        <v>5</v>
      </c>
      <c r="P101" s="2">
        <v>7621.85</v>
      </c>
      <c r="Q101" s="2">
        <v>6141.01</v>
      </c>
      <c r="R101" s="2">
        <v>1480.84</v>
      </c>
      <c r="S101" t="s">
        <v>37</v>
      </c>
      <c r="T101">
        <v>3</v>
      </c>
      <c r="U101" t="s">
        <v>51</v>
      </c>
      <c r="V101" t="s">
        <v>86</v>
      </c>
      <c r="W101" s="3">
        <f>Table1[[#This Row],[Profit]]/Table1[[#This Row],[Sales]]</f>
        <v>0.19428878815510667</v>
      </c>
      <c r="X101" t="str">
        <f>IF(Table1[[#This Row],[Sales]]&gt;=30000,"High Value",IF(Table1[[#This Row],[Sales]]&gt;=15000,"Medium Value","Low Value"))</f>
        <v>Low Value</v>
      </c>
      <c r="Y101" t="str">
        <f>IF(Table1[[#This Row],[Quantity]]&gt;=3,"Bulk Order","Regular Order")</f>
        <v>Regular Order</v>
      </c>
      <c r="Z101" t="str">
        <f>TEXT(Table1[[#This Row],[Order Date]],"dddd")</f>
        <v>Monday</v>
      </c>
    </row>
    <row r="102" spans="1:26" ht="14.4" x14ac:dyDescent="0.3">
      <c r="A102" t="s">
        <v>393</v>
      </c>
      <c r="B102" t="s">
        <v>394</v>
      </c>
      <c r="C102" s="2">
        <v>46199</v>
      </c>
      <c r="D102" t="s">
        <v>42</v>
      </c>
      <c r="E102" t="s">
        <v>78</v>
      </c>
      <c r="F102" t="s">
        <v>395</v>
      </c>
      <c r="G102" t="s">
        <v>108</v>
      </c>
      <c r="H102" t="s">
        <v>32</v>
      </c>
      <c r="I102" t="s">
        <v>58</v>
      </c>
      <c r="J102" t="s">
        <v>59</v>
      </c>
      <c r="K102" t="s">
        <v>95</v>
      </c>
      <c r="L102" t="s">
        <v>36</v>
      </c>
      <c r="M102">
        <v>3</v>
      </c>
      <c r="N102">
        <v>16826</v>
      </c>
      <c r="O102" s="2">
        <v>0</v>
      </c>
      <c r="P102" s="2">
        <v>50478</v>
      </c>
      <c r="Q102" s="2">
        <v>40541.760000000002</v>
      </c>
      <c r="R102" s="2">
        <v>9936.24</v>
      </c>
      <c r="S102" t="s">
        <v>37</v>
      </c>
      <c r="T102">
        <v>5</v>
      </c>
      <c r="U102" t="s">
        <v>51</v>
      </c>
      <c r="V102" t="s">
        <v>39</v>
      </c>
      <c r="W102" s="3">
        <f>Table1[[#This Row],[Profit]]/Table1[[#This Row],[Sales]]</f>
        <v>0.19684298110067752</v>
      </c>
      <c r="X102" t="str">
        <f>IF(Table1[[#This Row],[Sales]]&gt;=30000,"High Value",IF(Table1[[#This Row],[Sales]]&gt;=15000,"Medium Value","Low Value"))</f>
        <v>High Value</v>
      </c>
      <c r="Y102" t="str">
        <f>IF(Table1[[#This Row],[Quantity]]&gt;=3,"Bulk Order","Regular Order")</f>
        <v>Bulk Order</v>
      </c>
      <c r="Z102" t="str">
        <f>TEXT(Table1[[#This Row],[Order Date]],"dddd")</f>
        <v>Friday</v>
      </c>
    </row>
    <row r="103" spans="1:26" ht="14.4" x14ac:dyDescent="0.3">
      <c r="A103" t="s">
        <v>396</v>
      </c>
      <c r="B103" t="s">
        <v>397</v>
      </c>
      <c r="C103" s="2">
        <v>46153</v>
      </c>
      <c r="D103" t="s">
        <v>28</v>
      </c>
      <c r="E103" t="s">
        <v>133</v>
      </c>
      <c r="F103" t="s">
        <v>398</v>
      </c>
      <c r="G103" t="s">
        <v>57</v>
      </c>
      <c r="H103" t="s">
        <v>46</v>
      </c>
      <c r="I103" t="s">
        <v>33</v>
      </c>
      <c r="J103" t="s">
        <v>59</v>
      </c>
      <c r="K103" t="s">
        <v>60</v>
      </c>
      <c r="L103" t="s">
        <v>61</v>
      </c>
      <c r="M103">
        <v>1</v>
      </c>
      <c r="N103">
        <v>16316</v>
      </c>
      <c r="O103" s="2">
        <v>0</v>
      </c>
      <c r="P103" s="2">
        <v>16316</v>
      </c>
      <c r="Q103" s="2">
        <v>12822.46</v>
      </c>
      <c r="R103" s="2">
        <v>3493.54</v>
      </c>
      <c r="S103" t="s">
        <v>81</v>
      </c>
      <c r="T103">
        <v>5</v>
      </c>
      <c r="U103" t="s">
        <v>51</v>
      </c>
      <c r="V103" t="s">
        <v>52</v>
      </c>
      <c r="W103" s="3">
        <f>Table1[[#This Row],[Profit]]/Table1[[#This Row],[Sales]]</f>
        <v>0.21411743074282913</v>
      </c>
      <c r="X103" t="str">
        <f>IF(Table1[[#This Row],[Sales]]&gt;=30000,"High Value",IF(Table1[[#This Row],[Sales]]&gt;=15000,"Medium Value","Low Value"))</f>
        <v>Medium Value</v>
      </c>
      <c r="Y103" t="str">
        <f>IF(Table1[[#This Row],[Quantity]]&gt;=3,"Bulk Order","Regular Order")</f>
        <v>Regular Order</v>
      </c>
      <c r="Z103" t="str">
        <f>TEXT(Table1[[#This Row],[Order Date]],"dddd")</f>
        <v>Monday</v>
      </c>
    </row>
    <row r="104" spans="1:26" ht="14.4" x14ac:dyDescent="0.3">
      <c r="A104" t="s">
        <v>399</v>
      </c>
      <c r="B104" t="s">
        <v>400</v>
      </c>
      <c r="C104" s="2">
        <v>46186</v>
      </c>
      <c r="D104" t="s">
        <v>42</v>
      </c>
      <c r="E104" t="s">
        <v>78</v>
      </c>
      <c r="F104" t="s">
        <v>307</v>
      </c>
      <c r="G104" t="s">
        <v>161</v>
      </c>
      <c r="H104" t="s">
        <v>32</v>
      </c>
      <c r="I104" t="s">
        <v>58</v>
      </c>
      <c r="J104" t="s">
        <v>59</v>
      </c>
      <c r="K104" t="s">
        <v>95</v>
      </c>
      <c r="L104" t="s">
        <v>36</v>
      </c>
      <c r="M104">
        <v>5</v>
      </c>
      <c r="N104">
        <v>16485</v>
      </c>
      <c r="O104" s="2">
        <v>15</v>
      </c>
      <c r="P104" s="2">
        <v>70061.25</v>
      </c>
      <c r="Q104" s="2">
        <v>56927.68</v>
      </c>
      <c r="R104" s="2">
        <v>13133.57</v>
      </c>
      <c r="S104" t="s">
        <v>50</v>
      </c>
      <c r="T104">
        <v>5</v>
      </c>
      <c r="U104" t="s">
        <v>51</v>
      </c>
      <c r="V104" t="s">
        <v>86</v>
      </c>
      <c r="W104" s="3">
        <f>Table1[[#This Row],[Profit]]/Table1[[#This Row],[Sales]]</f>
        <v>0.18745840246926795</v>
      </c>
      <c r="X104" t="str">
        <f>IF(Table1[[#This Row],[Sales]]&gt;=30000,"High Value",IF(Table1[[#This Row],[Sales]]&gt;=15000,"Medium Value","Low Value"))</f>
        <v>High Value</v>
      </c>
      <c r="Y104" t="str">
        <f>IF(Table1[[#This Row],[Quantity]]&gt;=3,"Bulk Order","Regular Order")</f>
        <v>Bulk Order</v>
      </c>
      <c r="Z104" t="str">
        <f>TEXT(Table1[[#This Row],[Order Date]],"dddd")</f>
        <v>Saturday</v>
      </c>
    </row>
    <row r="105" spans="1:26" ht="14.4" x14ac:dyDescent="0.3">
      <c r="A105" t="s">
        <v>401</v>
      </c>
      <c r="B105" t="s">
        <v>402</v>
      </c>
      <c r="C105" s="2">
        <v>46162</v>
      </c>
      <c r="D105" t="s">
        <v>28</v>
      </c>
      <c r="E105" t="s">
        <v>133</v>
      </c>
      <c r="F105" t="s">
        <v>338</v>
      </c>
      <c r="G105" t="s">
        <v>80</v>
      </c>
      <c r="H105" t="s">
        <v>46</v>
      </c>
      <c r="I105" t="s">
        <v>58</v>
      </c>
      <c r="J105" t="s">
        <v>47</v>
      </c>
      <c r="K105" t="s">
        <v>48</v>
      </c>
      <c r="L105" t="s">
        <v>49</v>
      </c>
      <c r="M105">
        <v>5</v>
      </c>
      <c r="N105">
        <v>7814</v>
      </c>
      <c r="O105" s="2">
        <v>0</v>
      </c>
      <c r="P105" s="2">
        <v>39070</v>
      </c>
      <c r="Q105" s="2">
        <v>31318.16</v>
      </c>
      <c r="R105" s="2">
        <v>7751.84</v>
      </c>
      <c r="S105" t="s">
        <v>50</v>
      </c>
      <c r="T105">
        <v>4</v>
      </c>
      <c r="U105" t="s">
        <v>51</v>
      </c>
      <c r="V105" t="s">
        <v>39</v>
      </c>
      <c r="W105" s="3">
        <f>Table1[[#This Row],[Profit]]/Table1[[#This Row],[Sales]]</f>
        <v>0.19840900947018172</v>
      </c>
      <c r="X105" t="str">
        <f>IF(Table1[[#This Row],[Sales]]&gt;=30000,"High Value",IF(Table1[[#This Row],[Sales]]&gt;=15000,"Medium Value","Low Value"))</f>
        <v>High Value</v>
      </c>
      <c r="Y105" t="str">
        <f>IF(Table1[[#This Row],[Quantity]]&gt;=3,"Bulk Order","Regular Order")</f>
        <v>Bulk Order</v>
      </c>
      <c r="Z105" t="str">
        <f>TEXT(Table1[[#This Row],[Order Date]],"dddd")</f>
        <v>Wednesday</v>
      </c>
    </row>
    <row r="106" spans="1:26" ht="14.4" x14ac:dyDescent="0.3">
      <c r="A106" t="s">
        <v>403</v>
      </c>
      <c r="B106" t="s">
        <v>404</v>
      </c>
      <c r="C106" s="2">
        <v>46150</v>
      </c>
      <c r="D106" t="s">
        <v>28</v>
      </c>
      <c r="E106" t="s">
        <v>78</v>
      </c>
      <c r="F106" t="s">
        <v>405</v>
      </c>
      <c r="G106" t="s">
        <v>57</v>
      </c>
      <c r="H106" t="s">
        <v>46</v>
      </c>
      <c r="I106" t="s">
        <v>33</v>
      </c>
      <c r="J106" t="s">
        <v>59</v>
      </c>
      <c r="K106" t="s">
        <v>95</v>
      </c>
      <c r="L106" t="s">
        <v>36</v>
      </c>
      <c r="M106">
        <v>1</v>
      </c>
      <c r="N106">
        <v>16478</v>
      </c>
      <c r="O106" s="2">
        <v>0</v>
      </c>
      <c r="P106" s="2">
        <v>16478</v>
      </c>
      <c r="Q106" s="2">
        <v>13023.94</v>
      </c>
      <c r="R106" s="2">
        <v>3454.06</v>
      </c>
      <c r="S106" t="s">
        <v>50</v>
      </c>
      <c r="T106">
        <v>4</v>
      </c>
      <c r="U106" t="s">
        <v>51</v>
      </c>
      <c r="V106" t="s">
        <v>63</v>
      </c>
      <c r="W106" s="3">
        <f>Table1[[#This Row],[Profit]]/Table1[[#This Row],[Sales]]</f>
        <v>0.20961645830804709</v>
      </c>
      <c r="X106" t="str">
        <f>IF(Table1[[#This Row],[Sales]]&gt;=30000,"High Value",IF(Table1[[#This Row],[Sales]]&gt;=15000,"Medium Value","Low Value"))</f>
        <v>Medium Value</v>
      </c>
      <c r="Y106" t="str">
        <f>IF(Table1[[#This Row],[Quantity]]&gt;=3,"Bulk Order","Regular Order")</f>
        <v>Regular Order</v>
      </c>
      <c r="Z106" t="str">
        <f>TEXT(Table1[[#This Row],[Order Date]],"dddd")</f>
        <v>Friday</v>
      </c>
    </row>
    <row r="107" spans="1:26" ht="14.4" x14ac:dyDescent="0.3">
      <c r="A107" t="s">
        <v>406</v>
      </c>
      <c r="B107" t="s">
        <v>407</v>
      </c>
      <c r="C107" s="2">
        <v>46173</v>
      </c>
      <c r="D107" t="s">
        <v>28</v>
      </c>
      <c r="E107" t="s">
        <v>78</v>
      </c>
      <c r="F107" t="s">
        <v>282</v>
      </c>
      <c r="G107" t="s">
        <v>408</v>
      </c>
      <c r="H107" t="s">
        <v>46</v>
      </c>
      <c r="I107" t="s">
        <v>58</v>
      </c>
      <c r="J107" t="s">
        <v>59</v>
      </c>
      <c r="K107" t="s">
        <v>60</v>
      </c>
      <c r="L107" t="s">
        <v>61</v>
      </c>
      <c r="M107">
        <v>3</v>
      </c>
      <c r="N107">
        <v>17473</v>
      </c>
      <c r="O107" s="2">
        <v>0</v>
      </c>
      <c r="P107" s="2">
        <v>52419</v>
      </c>
      <c r="Q107" s="2">
        <v>42217.36</v>
      </c>
      <c r="R107" s="2">
        <v>10201.64</v>
      </c>
      <c r="S107" t="s">
        <v>37</v>
      </c>
      <c r="T107">
        <v>4</v>
      </c>
      <c r="U107" t="s">
        <v>51</v>
      </c>
      <c r="V107" t="s">
        <v>116</v>
      </c>
      <c r="W107" s="3">
        <f>Table1[[#This Row],[Profit]]/Table1[[#This Row],[Sales]]</f>
        <v>0.19461721894732825</v>
      </c>
      <c r="X107" t="str">
        <f>IF(Table1[[#This Row],[Sales]]&gt;=30000,"High Value",IF(Table1[[#This Row],[Sales]]&gt;=15000,"Medium Value","Low Value"))</f>
        <v>High Value</v>
      </c>
      <c r="Y107" t="str">
        <f>IF(Table1[[#This Row],[Quantity]]&gt;=3,"Bulk Order","Regular Order")</f>
        <v>Bulk Order</v>
      </c>
      <c r="Z107" t="str">
        <f>TEXT(Table1[[#This Row],[Order Date]],"dddd")</f>
        <v>Sunday</v>
      </c>
    </row>
    <row r="108" spans="1:26" ht="14.4" x14ac:dyDescent="0.3">
      <c r="A108" t="s">
        <v>409</v>
      </c>
      <c r="B108" t="s">
        <v>410</v>
      </c>
      <c r="C108" s="2">
        <v>46179</v>
      </c>
      <c r="D108" t="s">
        <v>42</v>
      </c>
      <c r="E108" t="s">
        <v>43</v>
      </c>
      <c r="F108" t="s">
        <v>411</v>
      </c>
      <c r="G108" t="s">
        <v>412</v>
      </c>
      <c r="H108" t="s">
        <v>46</v>
      </c>
      <c r="I108" t="s">
        <v>33</v>
      </c>
      <c r="J108" t="s">
        <v>59</v>
      </c>
      <c r="K108" t="s">
        <v>60</v>
      </c>
      <c r="L108" t="s">
        <v>61</v>
      </c>
      <c r="M108">
        <v>2</v>
      </c>
      <c r="N108">
        <v>16685</v>
      </c>
      <c r="O108" s="2">
        <v>10</v>
      </c>
      <c r="P108" s="2">
        <v>30033</v>
      </c>
      <c r="Q108" s="2">
        <v>23435.87</v>
      </c>
      <c r="R108" s="2">
        <v>6597.13</v>
      </c>
      <c r="S108" t="s">
        <v>50</v>
      </c>
      <c r="T108">
        <v>4</v>
      </c>
      <c r="U108" t="s">
        <v>51</v>
      </c>
      <c r="V108" t="s">
        <v>75</v>
      </c>
      <c r="W108" s="3">
        <f>Table1[[#This Row],[Profit]]/Table1[[#This Row],[Sales]]</f>
        <v>0.21966270435853893</v>
      </c>
      <c r="X108" t="str">
        <f>IF(Table1[[#This Row],[Sales]]&gt;=30000,"High Value",IF(Table1[[#This Row],[Sales]]&gt;=15000,"Medium Value","Low Value"))</f>
        <v>High Value</v>
      </c>
      <c r="Y108" t="str">
        <f>IF(Table1[[#This Row],[Quantity]]&gt;=3,"Bulk Order","Regular Order")</f>
        <v>Regular Order</v>
      </c>
      <c r="Z108" t="str">
        <f>TEXT(Table1[[#This Row],[Order Date]],"dddd")</f>
        <v>Saturday</v>
      </c>
    </row>
    <row r="109" spans="1:26" ht="14.4" x14ac:dyDescent="0.3">
      <c r="A109" t="s">
        <v>413</v>
      </c>
      <c r="B109" t="s">
        <v>414</v>
      </c>
      <c r="C109" s="2">
        <v>46150</v>
      </c>
      <c r="D109" t="s">
        <v>28</v>
      </c>
      <c r="E109" t="s">
        <v>55</v>
      </c>
      <c r="F109" t="s">
        <v>341</v>
      </c>
      <c r="G109" t="s">
        <v>68</v>
      </c>
      <c r="H109" t="s">
        <v>32</v>
      </c>
      <c r="I109" t="s">
        <v>33</v>
      </c>
      <c r="J109" t="s">
        <v>59</v>
      </c>
      <c r="K109" t="s">
        <v>60</v>
      </c>
      <c r="L109" t="s">
        <v>61</v>
      </c>
      <c r="M109">
        <v>1</v>
      </c>
      <c r="N109">
        <v>16202</v>
      </c>
      <c r="O109" s="2">
        <v>0</v>
      </c>
      <c r="P109" s="2">
        <v>16202</v>
      </c>
      <c r="Q109" s="2">
        <v>12888.75</v>
      </c>
      <c r="R109" s="2">
        <v>3313.25</v>
      </c>
      <c r="S109" t="s">
        <v>37</v>
      </c>
      <c r="T109">
        <v>4</v>
      </c>
      <c r="U109" t="s">
        <v>51</v>
      </c>
      <c r="V109" t="s">
        <v>75</v>
      </c>
      <c r="W109" s="3">
        <f>Table1[[#This Row],[Profit]]/Table1[[#This Row],[Sales]]</f>
        <v>0.20449635847426242</v>
      </c>
      <c r="X109" t="str">
        <f>IF(Table1[[#This Row],[Sales]]&gt;=30000,"High Value",IF(Table1[[#This Row],[Sales]]&gt;=15000,"Medium Value","Low Value"))</f>
        <v>Medium Value</v>
      </c>
      <c r="Y109" t="str">
        <f>IF(Table1[[#This Row],[Quantity]]&gt;=3,"Bulk Order","Regular Order")</f>
        <v>Regular Order</v>
      </c>
      <c r="Z109" t="str">
        <f>TEXT(Table1[[#This Row],[Order Date]],"dddd")</f>
        <v>Friday</v>
      </c>
    </row>
    <row r="110" spans="1:26" ht="14.4" x14ac:dyDescent="0.3">
      <c r="A110" t="s">
        <v>415</v>
      </c>
      <c r="B110" t="s">
        <v>416</v>
      </c>
      <c r="C110" s="2">
        <v>46154</v>
      </c>
      <c r="D110" t="s">
        <v>28</v>
      </c>
      <c r="E110" t="s">
        <v>43</v>
      </c>
      <c r="F110" t="s">
        <v>316</v>
      </c>
      <c r="G110" t="s">
        <v>417</v>
      </c>
      <c r="H110" t="s">
        <v>46</v>
      </c>
      <c r="I110" t="s">
        <v>33</v>
      </c>
      <c r="J110" t="s">
        <v>47</v>
      </c>
      <c r="K110" t="s">
        <v>48</v>
      </c>
      <c r="L110" t="s">
        <v>49</v>
      </c>
      <c r="M110">
        <v>2</v>
      </c>
      <c r="N110">
        <v>8710</v>
      </c>
      <c r="O110" s="2">
        <v>0</v>
      </c>
      <c r="P110" s="2">
        <v>17420</v>
      </c>
      <c r="Q110" s="2">
        <v>13629.76</v>
      </c>
      <c r="R110" s="2">
        <v>3790.24</v>
      </c>
      <c r="S110" t="s">
        <v>81</v>
      </c>
      <c r="T110">
        <v>4</v>
      </c>
      <c r="U110" t="s">
        <v>51</v>
      </c>
      <c r="V110" t="s">
        <v>86</v>
      </c>
      <c r="W110" s="3">
        <f>Table1[[#This Row],[Profit]]/Table1[[#This Row],[Sales]]</f>
        <v>0.21757979334098737</v>
      </c>
      <c r="X110" t="str">
        <f>IF(Table1[[#This Row],[Sales]]&gt;=30000,"High Value",IF(Table1[[#This Row],[Sales]]&gt;=15000,"Medium Value","Low Value"))</f>
        <v>Medium Value</v>
      </c>
      <c r="Y110" t="str">
        <f>IF(Table1[[#This Row],[Quantity]]&gt;=3,"Bulk Order","Regular Order")</f>
        <v>Regular Order</v>
      </c>
      <c r="Z110" t="str">
        <f>TEXT(Table1[[#This Row],[Order Date]],"dddd")</f>
        <v>Tuesday</v>
      </c>
    </row>
    <row r="111" spans="1:26" ht="14.4" x14ac:dyDescent="0.3">
      <c r="A111" t="s">
        <v>418</v>
      </c>
      <c r="B111" t="s">
        <v>419</v>
      </c>
      <c r="C111" s="2">
        <v>46202</v>
      </c>
      <c r="D111" t="s">
        <v>42</v>
      </c>
      <c r="E111" t="s">
        <v>66</v>
      </c>
      <c r="F111" t="s">
        <v>420</v>
      </c>
      <c r="G111" t="s">
        <v>417</v>
      </c>
      <c r="H111" t="s">
        <v>46</v>
      </c>
      <c r="I111" t="s">
        <v>33</v>
      </c>
      <c r="J111" t="s">
        <v>59</v>
      </c>
      <c r="K111" t="s">
        <v>95</v>
      </c>
      <c r="L111" t="s">
        <v>36</v>
      </c>
      <c r="M111">
        <v>2</v>
      </c>
      <c r="N111">
        <v>16844</v>
      </c>
      <c r="O111" s="2">
        <v>0</v>
      </c>
      <c r="P111" s="2">
        <v>33688</v>
      </c>
      <c r="Q111" s="2">
        <v>26966.06</v>
      </c>
      <c r="R111" s="2">
        <v>6721.94</v>
      </c>
      <c r="S111" t="s">
        <v>81</v>
      </c>
      <c r="T111">
        <v>5</v>
      </c>
      <c r="U111" t="s">
        <v>38</v>
      </c>
      <c r="V111" t="s">
        <v>39</v>
      </c>
      <c r="W111" s="3">
        <f>Table1[[#This Row],[Profit]]/Table1[[#This Row],[Sales]]</f>
        <v>0.19953514604606981</v>
      </c>
      <c r="X111" t="str">
        <f>IF(Table1[[#This Row],[Sales]]&gt;=30000,"High Value",IF(Table1[[#This Row],[Sales]]&gt;=15000,"Medium Value","Low Value"))</f>
        <v>High Value</v>
      </c>
      <c r="Y111" t="str">
        <f>IF(Table1[[#This Row],[Quantity]]&gt;=3,"Bulk Order","Regular Order")</f>
        <v>Regular Order</v>
      </c>
      <c r="Z111" t="str">
        <f>TEXT(Table1[[#This Row],[Order Date]],"dddd")</f>
        <v>Monday</v>
      </c>
    </row>
    <row r="112" spans="1:26" ht="14.4" x14ac:dyDescent="0.3">
      <c r="A112" t="s">
        <v>421</v>
      </c>
      <c r="B112" t="s">
        <v>422</v>
      </c>
      <c r="C112" s="2">
        <v>46159</v>
      </c>
      <c r="D112" t="s">
        <v>28</v>
      </c>
      <c r="E112" t="s">
        <v>55</v>
      </c>
      <c r="F112" t="s">
        <v>423</v>
      </c>
      <c r="G112" t="s">
        <v>45</v>
      </c>
      <c r="H112" t="s">
        <v>46</v>
      </c>
      <c r="I112" t="s">
        <v>33</v>
      </c>
      <c r="J112" t="s">
        <v>59</v>
      </c>
      <c r="K112" t="s">
        <v>60</v>
      </c>
      <c r="L112" t="s">
        <v>61</v>
      </c>
      <c r="M112">
        <v>2</v>
      </c>
      <c r="N112">
        <v>16562</v>
      </c>
      <c r="O112" s="2">
        <v>0</v>
      </c>
      <c r="P112" s="2">
        <v>33124</v>
      </c>
      <c r="Q112" s="2">
        <v>25907.919999999998</v>
      </c>
      <c r="R112" s="2">
        <v>7216.08</v>
      </c>
      <c r="S112" t="s">
        <v>37</v>
      </c>
      <c r="T112">
        <v>5</v>
      </c>
      <c r="U112" t="s">
        <v>51</v>
      </c>
      <c r="V112" t="s">
        <v>116</v>
      </c>
      <c r="W112" s="3">
        <f>Table1[[#This Row],[Profit]]/Table1[[#This Row],[Sales]]</f>
        <v>0.21785050114720445</v>
      </c>
      <c r="X112" t="str">
        <f>IF(Table1[[#This Row],[Sales]]&gt;=30000,"High Value",IF(Table1[[#This Row],[Sales]]&gt;=15000,"Medium Value","Low Value"))</f>
        <v>High Value</v>
      </c>
      <c r="Y112" t="str">
        <f>IF(Table1[[#This Row],[Quantity]]&gt;=3,"Bulk Order","Regular Order")</f>
        <v>Regular Order</v>
      </c>
      <c r="Z112" t="str">
        <f>TEXT(Table1[[#This Row],[Order Date]],"dddd")</f>
        <v>Sunday</v>
      </c>
    </row>
    <row r="113" spans="1:26" ht="14.4" x14ac:dyDescent="0.3">
      <c r="A113" t="s">
        <v>424</v>
      </c>
      <c r="B113" t="s">
        <v>425</v>
      </c>
      <c r="C113" s="2">
        <v>46173</v>
      </c>
      <c r="D113" t="s">
        <v>28</v>
      </c>
      <c r="E113" t="s">
        <v>78</v>
      </c>
      <c r="F113" t="s">
        <v>426</v>
      </c>
      <c r="G113" t="s">
        <v>322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>
        <v>1</v>
      </c>
      <c r="N113">
        <v>12285</v>
      </c>
      <c r="O113" s="2">
        <v>0</v>
      </c>
      <c r="P113" s="2">
        <v>12285</v>
      </c>
      <c r="Q113" s="2">
        <v>9597.18</v>
      </c>
      <c r="R113" s="2">
        <v>2687.82</v>
      </c>
      <c r="S113" t="s">
        <v>37</v>
      </c>
      <c r="T113">
        <v>5</v>
      </c>
      <c r="U113" t="s">
        <v>51</v>
      </c>
      <c r="V113" t="s">
        <v>86</v>
      </c>
      <c r="W113" s="3">
        <f>Table1[[#This Row],[Profit]]/Table1[[#This Row],[Sales]]</f>
        <v>0.2187887667887668</v>
      </c>
      <c r="X113" t="str">
        <f>IF(Table1[[#This Row],[Sales]]&gt;=30000,"High Value",IF(Table1[[#This Row],[Sales]]&gt;=15000,"Medium Value","Low Value"))</f>
        <v>Low Value</v>
      </c>
      <c r="Y113" t="str">
        <f>IF(Table1[[#This Row],[Quantity]]&gt;=3,"Bulk Order","Regular Order")</f>
        <v>Regular Order</v>
      </c>
      <c r="Z113" t="str">
        <f>TEXT(Table1[[#This Row],[Order Date]],"dddd")</f>
        <v>Sunday</v>
      </c>
    </row>
    <row r="114" spans="1:26" ht="14.4" x14ac:dyDescent="0.3">
      <c r="A114" t="s">
        <v>427</v>
      </c>
      <c r="B114" t="s">
        <v>428</v>
      </c>
      <c r="C114" s="2">
        <v>46155</v>
      </c>
      <c r="D114" t="s">
        <v>28</v>
      </c>
      <c r="E114" t="s">
        <v>55</v>
      </c>
      <c r="F114" t="s">
        <v>429</v>
      </c>
      <c r="G114" t="s">
        <v>68</v>
      </c>
      <c r="H114" t="s">
        <v>32</v>
      </c>
      <c r="I114" t="s">
        <v>58</v>
      </c>
      <c r="J114" t="s">
        <v>47</v>
      </c>
      <c r="K114" t="s">
        <v>69</v>
      </c>
      <c r="L114" t="s">
        <v>70</v>
      </c>
      <c r="M114">
        <v>5</v>
      </c>
      <c r="N114">
        <v>9131</v>
      </c>
      <c r="O114" s="2">
        <v>10</v>
      </c>
      <c r="P114" s="2">
        <v>41089.5</v>
      </c>
      <c r="Q114" s="2">
        <v>32631.5</v>
      </c>
      <c r="R114" s="2">
        <v>8458</v>
      </c>
      <c r="S114" t="s">
        <v>37</v>
      </c>
      <c r="T114">
        <v>5</v>
      </c>
      <c r="U114" t="s">
        <v>51</v>
      </c>
      <c r="V114" t="s">
        <v>75</v>
      </c>
      <c r="W114" s="3">
        <f>Table1[[#This Row],[Profit]]/Table1[[#This Row],[Sales]]</f>
        <v>0.20584334197301013</v>
      </c>
      <c r="X114" t="str">
        <f>IF(Table1[[#This Row],[Sales]]&gt;=30000,"High Value",IF(Table1[[#This Row],[Sales]]&gt;=15000,"Medium Value","Low Value"))</f>
        <v>High Value</v>
      </c>
      <c r="Y114" t="str">
        <f>IF(Table1[[#This Row],[Quantity]]&gt;=3,"Bulk Order","Regular Order")</f>
        <v>Bulk Order</v>
      </c>
      <c r="Z114" t="str">
        <f>TEXT(Table1[[#This Row],[Order Date]],"dddd")</f>
        <v>Wednesday</v>
      </c>
    </row>
    <row r="115" spans="1:26" ht="14.4" x14ac:dyDescent="0.3">
      <c r="A115" t="s">
        <v>430</v>
      </c>
      <c r="B115" t="s">
        <v>431</v>
      </c>
      <c r="C115" s="2">
        <v>46196</v>
      </c>
      <c r="D115" t="s">
        <v>42</v>
      </c>
      <c r="E115" t="s">
        <v>55</v>
      </c>
      <c r="F115" t="s">
        <v>432</v>
      </c>
      <c r="G115" t="s">
        <v>198</v>
      </c>
      <c r="H115" t="s">
        <v>32</v>
      </c>
      <c r="I115" t="s">
        <v>33</v>
      </c>
      <c r="J115" t="s">
        <v>59</v>
      </c>
      <c r="K115" t="s">
        <v>60</v>
      </c>
      <c r="L115" t="s">
        <v>61</v>
      </c>
      <c r="M115">
        <v>2</v>
      </c>
      <c r="N115">
        <v>17318</v>
      </c>
      <c r="O115" s="2">
        <v>10</v>
      </c>
      <c r="P115" s="2">
        <v>31172.400000000001</v>
      </c>
      <c r="Q115" s="2">
        <v>25243.759999999998</v>
      </c>
      <c r="R115" s="2">
        <v>5928.64</v>
      </c>
      <c r="S115" t="s">
        <v>50</v>
      </c>
      <c r="T115">
        <v>5</v>
      </c>
      <c r="U115" t="s">
        <v>51</v>
      </c>
      <c r="V115" t="s">
        <v>39</v>
      </c>
      <c r="W115" s="3">
        <f>Table1[[#This Row],[Profit]]/Table1[[#This Row],[Sales]]</f>
        <v>0.19018875672068883</v>
      </c>
      <c r="X115" t="str">
        <f>IF(Table1[[#This Row],[Sales]]&gt;=30000,"High Value",IF(Table1[[#This Row],[Sales]]&gt;=15000,"Medium Value","Low Value"))</f>
        <v>High Value</v>
      </c>
      <c r="Y115" t="str">
        <f>IF(Table1[[#This Row],[Quantity]]&gt;=3,"Bulk Order","Regular Order")</f>
        <v>Regular Order</v>
      </c>
      <c r="Z115" t="str">
        <f>TEXT(Table1[[#This Row],[Order Date]],"dddd")</f>
        <v>Tuesday</v>
      </c>
    </row>
    <row r="116" spans="1:26" ht="14.4" x14ac:dyDescent="0.3">
      <c r="A116" t="s">
        <v>433</v>
      </c>
      <c r="B116" t="s">
        <v>434</v>
      </c>
      <c r="C116" s="2">
        <v>46151</v>
      </c>
      <c r="D116" t="s">
        <v>28</v>
      </c>
      <c r="E116" t="s">
        <v>133</v>
      </c>
      <c r="F116" t="s">
        <v>435</v>
      </c>
      <c r="G116" t="s">
        <v>74</v>
      </c>
      <c r="H116" t="s">
        <v>46</v>
      </c>
      <c r="I116" t="s">
        <v>33</v>
      </c>
      <c r="J116" t="s">
        <v>47</v>
      </c>
      <c r="K116" t="s">
        <v>48</v>
      </c>
      <c r="L116" t="s">
        <v>49</v>
      </c>
      <c r="M116">
        <v>2</v>
      </c>
      <c r="N116">
        <v>7834</v>
      </c>
      <c r="O116" s="2">
        <v>0</v>
      </c>
      <c r="P116" s="2">
        <v>15668</v>
      </c>
      <c r="Q116" s="2">
        <v>12436.9</v>
      </c>
      <c r="R116" s="2">
        <v>3231.1</v>
      </c>
      <c r="S116" t="s">
        <v>50</v>
      </c>
      <c r="T116">
        <v>4</v>
      </c>
      <c r="U116" t="s">
        <v>51</v>
      </c>
      <c r="V116" t="s">
        <v>116</v>
      </c>
      <c r="W116" s="3">
        <f>Table1[[#This Row],[Profit]]/Table1[[#This Row],[Sales]]</f>
        <v>0.20622287464896605</v>
      </c>
      <c r="X116" t="str">
        <f>IF(Table1[[#This Row],[Sales]]&gt;=30000,"High Value",IF(Table1[[#This Row],[Sales]]&gt;=15000,"Medium Value","Low Value"))</f>
        <v>Medium Value</v>
      </c>
      <c r="Y116" t="str">
        <f>IF(Table1[[#This Row],[Quantity]]&gt;=3,"Bulk Order","Regular Order")</f>
        <v>Regular Order</v>
      </c>
      <c r="Z116" t="str">
        <f>TEXT(Table1[[#This Row],[Order Date]],"dddd")</f>
        <v>Saturday</v>
      </c>
    </row>
    <row r="117" spans="1:26" ht="14.4" x14ac:dyDescent="0.3">
      <c r="A117" t="s">
        <v>436</v>
      </c>
      <c r="B117" t="s">
        <v>437</v>
      </c>
      <c r="C117" s="2">
        <v>46202</v>
      </c>
      <c r="D117" t="s">
        <v>42</v>
      </c>
      <c r="E117" t="s">
        <v>29</v>
      </c>
      <c r="F117" t="s">
        <v>438</v>
      </c>
      <c r="G117" t="s">
        <v>175</v>
      </c>
      <c r="H117" t="s">
        <v>32</v>
      </c>
      <c r="I117" t="s">
        <v>33</v>
      </c>
      <c r="J117" t="s">
        <v>169</v>
      </c>
      <c r="K117" t="s">
        <v>170</v>
      </c>
      <c r="L117" t="s">
        <v>171</v>
      </c>
      <c r="M117">
        <v>2</v>
      </c>
      <c r="N117">
        <v>11946</v>
      </c>
      <c r="O117" s="2">
        <v>5</v>
      </c>
      <c r="P117" s="2">
        <v>22697.4</v>
      </c>
      <c r="Q117" s="2">
        <v>18124.61</v>
      </c>
      <c r="R117" s="2">
        <v>4572.79</v>
      </c>
      <c r="S117" t="s">
        <v>37</v>
      </c>
      <c r="T117">
        <v>5</v>
      </c>
      <c r="U117" t="s">
        <v>38</v>
      </c>
      <c r="V117" t="s">
        <v>63</v>
      </c>
      <c r="W117" s="3">
        <f>Table1[[#This Row],[Profit]]/Table1[[#This Row],[Sales]]</f>
        <v>0.20146756897265763</v>
      </c>
      <c r="X117" t="str">
        <f>IF(Table1[[#This Row],[Sales]]&gt;=30000,"High Value",IF(Table1[[#This Row],[Sales]]&gt;=15000,"Medium Value","Low Value"))</f>
        <v>Medium Value</v>
      </c>
      <c r="Y117" t="str">
        <f>IF(Table1[[#This Row],[Quantity]]&gt;=3,"Bulk Order","Regular Order")</f>
        <v>Regular Order</v>
      </c>
      <c r="Z117" t="str">
        <f>TEXT(Table1[[#This Row],[Order Date]],"dddd")</f>
        <v>Monday</v>
      </c>
    </row>
    <row r="118" spans="1:26" ht="14.4" x14ac:dyDescent="0.3">
      <c r="A118" t="s">
        <v>439</v>
      </c>
      <c r="B118" t="s">
        <v>440</v>
      </c>
      <c r="C118" s="2">
        <v>46177</v>
      </c>
      <c r="D118" t="s">
        <v>42</v>
      </c>
      <c r="E118" t="s">
        <v>78</v>
      </c>
      <c r="F118" t="s">
        <v>84</v>
      </c>
      <c r="G118" t="s">
        <v>74</v>
      </c>
      <c r="H118" t="s">
        <v>46</v>
      </c>
      <c r="I118" t="s">
        <v>33</v>
      </c>
      <c r="J118" t="s">
        <v>47</v>
      </c>
      <c r="K118" t="s">
        <v>48</v>
      </c>
      <c r="L118" t="s">
        <v>49</v>
      </c>
      <c r="M118">
        <v>1</v>
      </c>
      <c r="N118">
        <v>7473</v>
      </c>
      <c r="O118" s="2">
        <v>5</v>
      </c>
      <c r="P118" s="2">
        <v>7099.35</v>
      </c>
      <c r="Q118" s="2">
        <v>5725.07</v>
      </c>
      <c r="R118" s="2">
        <v>1374.28</v>
      </c>
      <c r="S118" t="s">
        <v>50</v>
      </c>
      <c r="T118">
        <v>5</v>
      </c>
      <c r="U118" t="s">
        <v>51</v>
      </c>
      <c r="V118" t="s">
        <v>86</v>
      </c>
      <c r="W118" s="3">
        <f>Table1[[#This Row],[Profit]]/Table1[[#This Row],[Sales]]</f>
        <v>0.19357828533598145</v>
      </c>
      <c r="X118" t="str">
        <f>IF(Table1[[#This Row],[Sales]]&gt;=30000,"High Value",IF(Table1[[#This Row],[Sales]]&gt;=15000,"Medium Value","Low Value"))</f>
        <v>Low Value</v>
      </c>
      <c r="Y118" t="str">
        <f>IF(Table1[[#This Row],[Quantity]]&gt;=3,"Bulk Order","Regular Order")</f>
        <v>Regular Order</v>
      </c>
      <c r="Z118" t="str">
        <f>TEXT(Table1[[#This Row],[Order Date]],"dddd")</f>
        <v>Thursday</v>
      </c>
    </row>
    <row r="119" spans="1:26" ht="14.4" x14ac:dyDescent="0.3">
      <c r="A119" t="s">
        <v>441</v>
      </c>
      <c r="B119" t="s">
        <v>442</v>
      </c>
      <c r="C119" s="2">
        <v>46192</v>
      </c>
      <c r="D119" t="s">
        <v>42</v>
      </c>
      <c r="E119" t="s">
        <v>55</v>
      </c>
      <c r="F119" t="s">
        <v>282</v>
      </c>
      <c r="G119" t="s">
        <v>124</v>
      </c>
      <c r="H119" t="s">
        <v>46</v>
      </c>
      <c r="I119" t="s">
        <v>33</v>
      </c>
      <c r="J119" t="s">
        <v>59</v>
      </c>
      <c r="K119" t="s">
        <v>95</v>
      </c>
      <c r="L119" t="s">
        <v>36</v>
      </c>
      <c r="M119">
        <v>1</v>
      </c>
      <c r="N119">
        <v>14546</v>
      </c>
      <c r="O119" s="2">
        <v>0</v>
      </c>
      <c r="P119" s="2">
        <v>14546</v>
      </c>
      <c r="Q119" s="2">
        <v>11790.28</v>
      </c>
      <c r="R119" s="2">
        <v>2755.72</v>
      </c>
      <c r="S119" t="s">
        <v>50</v>
      </c>
      <c r="T119">
        <v>4</v>
      </c>
      <c r="U119" t="s">
        <v>51</v>
      </c>
      <c r="V119" t="s">
        <v>116</v>
      </c>
      <c r="W119" s="3">
        <f>Table1[[#This Row],[Profit]]/Table1[[#This Row],[Sales]]</f>
        <v>0.18944864567578715</v>
      </c>
      <c r="X119" t="str">
        <f>IF(Table1[[#This Row],[Sales]]&gt;=30000,"High Value",IF(Table1[[#This Row],[Sales]]&gt;=15000,"Medium Value","Low Value"))</f>
        <v>Low Value</v>
      </c>
      <c r="Y119" t="str">
        <f>IF(Table1[[#This Row],[Quantity]]&gt;=3,"Bulk Order","Regular Order")</f>
        <v>Regular Order</v>
      </c>
      <c r="Z119" t="str">
        <f>TEXT(Table1[[#This Row],[Order Date]],"dddd")</f>
        <v>Friday</v>
      </c>
    </row>
    <row r="120" spans="1:26" ht="14.4" x14ac:dyDescent="0.3">
      <c r="A120" t="s">
        <v>443</v>
      </c>
      <c r="B120" t="s">
        <v>444</v>
      </c>
      <c r="C120" s="2">
        <v>46164</v>
      </c>
      <c r="D120" t="s">
        <v>28</v>
      </c>
      <c r="E120" t="s">
        <v>55</v>
      </c>
      <c r="F120" t="s">
        <v>445</v>
      </c>
      <c r="G120" t="s">
        <v>31</v>
      </c>
      <c r="H120" t="s">
        <v>32</v>
      </c>
      <c r="I120" t="s">
        <v>33</v>
      </c>
      <c r="J120" t="s">
        <v>47</v>
      </c>
      <c r="K120" t="s">
        <v>48</v>
      </c>
      <c r="L120" t="s">
        <v>49</v>
      </c>
      <c r="M120">
        <v>1</v>
      </c>
      <c r="N120">
        <v>8631</v>
      </c>
      <c r="O120" s="2">
        <v>0</v>
      </c>
      <c r="P120" s="2">
        <v>8631</v>
      </c>
      <c r="Q120" s="2">
        <v>6987.96</v>
      </c>
      <c r="R120" s="2">
        <v>1643.04</v>
      </c>
      <c r="S120" t="s">
        <v>50</v>
      </c>
      <c r="T120">
        <v>4</v>
      </c>
      <c r="U120" t="s">
        <v>51</v>
      </c>
      <c r="V120" t="s">
        <v>39</v>
      </c>
      <c r="W120" s="3">
        <f>Table1[[#This Row],[Profit]]/Table1[[#This Row],[Sales]]</f>
        <v>0.19036496350364962</v>
      </c>
      <c r="X120" t="str">
        <f>IF(Table1[[#This Row],[Sales]]&gt;=30000,"High Value",IF(Table1[[#This Row],[Sales]]&gt;=15000,"Medium Value","Low Value"))</f>
        <v>Low Value</v>
      </c>
      <c r="Y120" t="str">
        <f>IF(Table1[[#This Row],[Quantity]]&gt;=3,"Bulk Order","Regular Order")</f>
        <v>Regular Order</v>
      </c>
      <c r="Z120" t="str">
        <f>TEXT(Table1[[#This Row],[Order Date]],"dddd")</f>
        <v>Friday</v>
      </c>
    </row>
    <row r="121" spans="1:26" ht="14.4" x14ac:dyDescent="0.3">
      <c r="A121" t="s">
        <v>446</v>
      </c>
      <c r="B121" t="s">
        <v>447</v>
      </c>
      <c r="C121" s="2">
        <v>46192</v>
      </c>
      <c r="D121" t="s">
        <v>42</v>
      </c>
      <c r="E121" t="s">
        <v>133</v>
      </c>
      <c r="F121" t="s">
        <v>448</v>
      </c>
      <c r="G121" t="s">
        <v>229</v>
      </c>
      <c r="H121" t="s">
        <v>32</v>
      </c>
      <c r="I121" t="s">
        <v>33</v>
      </c>
      <c r="J121" t="s">
        <v>169</v>
      </c>
      <c r="K121" t="s">
        <v>170</v>
      </c>
      <c r="L121" t="s">
        <v>171</v>
      </c>
      <c r="M121">
        <v>1</v>
      </c>
      <c r="N121">
        <v>11226</v>
      </c>
      <c r="O121" s="2">
        <v>0</v>
      </c>
      <c r="P121" s="2">
        <v>11226</v>
      </c>
      <c r="Q121" s="2">
        <v>8895.2999999999993</v>
      </c>
      <c r="R121" s="2">
        <v>2330.6999999999998</v>
      </c>
      <c r="S121" t="s">
        <v>81</v>
      </c>
      <c r="T121">
        <v>4</v>
      </c>
      <c r="U121" t="s">
        <v>51</v>
      </c>
      <c r="V121" t="s">
        <v>63</v>
      </c>
      <c r="W121" s="3">
        <f>Table1[[#This Row],[Profit]]/Table1[[#This Row],[Sales]]</f>
        <v>0.2076162479957242</v>
      </c>
      <c r="X121" t="str">
        <f>IF(Table1[[#This Row],[Sales]]&gt;=30000,"High Value",IF(Table1[[#This Row],[Sales]]&gt;=15000,"Medium Value","Low Value"))</f>
        <v>Low Value</v>
      </c>
      <c r="Y121" t="str">
        <f>IF(Table1[[#This Row],[Quantity]]&gt;=3,"Bulk Order","Regular Order")</f>
        <v>Regular Order</v>
      </c>
      <c r="Z121" t="str">
        <f>TEXT(Table1[[#This Row],[Order Date]],"dddd")</f>
        <v>Friday</v>
      </c>
    </row>
    <row r="122" spans="1:26" ht="14.4" x14ac:dyDescent="0.3">
      <c r="A122" t="s">
        <v>449</v>
      </c>
      <c r="B122" t="s">
        <v>450</v>
      </c>
      <c r="C122" s="2">
        <v>46150</v>
      </c>
      <c r="D122" t="s">
        <v>28</v>
      </c>
      <c r="E122" t="s">
        <v>55</v>
      </c>
      <c r="F122" t="s">
        <v>451</v>
      </c>
      <c r="G122" t="s">
        <v>94</v>
      </c>
      <c r="H122" t="s">
        <v>46</v>
      </c>
      <c r="I122" t="s">
        <v>33</v>
      </c>
      <c r="J122" t="s">
        <v>47</v>
      </c>
      <c r="K122" t="s">
        <v>48</v>
      </c>
      <c r="L122" t="s">
        <v>49</v>
      </c>
      <c r="M122">
        <v>1</v>
      </c>
      <c r="N122">
        <v>7392</v>
      </c>
      <c r="O122" s="2">
        <v>10</v>
      </c>
      <c r="P122" s="2">
        <v>6652.8</v>
      </c>
      <c r="Q122" s="2">
        <v>5297.39</v>
      </c>
      <c r="R122" s="2">
        <v>1355.41</v>
      </c>
      <c r="S122" t="s">
        <v>37</v>
      </c>
      <c r="T122">
        <v>5</v>
      </c>
      <c r="U122" t="s">
        <v>51</v>
      </c>
      <c r="V122" t="s">
        <v>39</v>
      </c>
      <c r="W122" s="3">
        <f>Table1[[#This Row],[Profit]]/Table1[[#This Row],[Sales]]</f>
        <v>0.20373526936026937</v>
      </c>
      <c r="X122" t="str">
        <f>IF(Table1[[#This Row],[Sales]]&gt;=30000,"High Value",IF(Table1[[#This Row],[Sales]]&gt;=15000,"Medium Value","Low Value"))</f>
        <v>Low Value</v>
      </c>
      <c r="Y122" t="str">
        <f>IF(Table1[[#This Row],[Quantity]]&gt;=3,"Bulk Order","Regular Order")</f>
        <v>Regular Order</v>
      </c>
      <c r="Z122" t="str">
        <f>TEXT(Table1[[#This Row],[Order Date]],"dddd")</f>
        <v>Friday</v>
      </c>
    </row>
    <row r="123" spans="1:26" ht="14.4" x14ac:dyDescent="0.3">
      <c r="A123" t="s">
        <v>452</v>
      </c>
      <c r="B123" t="s">
        <v>453</v>
      </c>
      <c r="C123" s="2">
        <v>46196</v>
      </c>
      <c r="D123" t="s">
        <v>42</v>
      </c>
      <c r="E123" t="s">
        <v>133</v>
      </c>
      <c r="F123" t="s">
        <v>154</v>
      </c>
      <c r="G123" t="s">
        <v>454</v>
      </c>
      <c r="H123" t="s">
        <v>32</v>
      </c>
      <c r="I123" t="s">
        <v>33</v>
      </c>
      <c r="J123" t="s">
        <v>169</v>
      </c>
      <c r="K123" t="s">
        <v>170</v>
      </c>
      <c r="L123" t="s">
        <v>171</v>
      </c>
      <c r="M123">
        <v>1</v>
      </c>
      <c r="N123">
        <v>9123</v>
      </c>
      <c r="O123" s="2">
        <v>15</v>
      </c>
      <c r="P123" s="2">
        <v>7754.55</v>
      </c>
      <c r="Q123" s="2">
        <v>6324.25</v>
      </c>
      <c r="R123" s="2">
        <v>1430.3</v>
      </c>
      <c r="S123" t="s">
        <v>81</v>
      </c>
      <c r="T123">
        <v>3</v>
      </c>
      <c r="U123" t="s">
        <v>51</v>
      </c>
      <c r="V123" t="s">
        <v>86</v>
      </c>
      <c r="W123" s="3">
        <f>Table1[[#This Row],[Profit]]/Table1[[#This Row],[Sales]]</f>
        <v>0.18444655073472993</v>
      </c>
      <c r="X123" t="str">
        <f>IF(Table1[[#This Row],[Sales]]&gt;=30000,"High Value",IF(Table1[[#This Row],[Sales]]&gt;=15000,"Medium Value","Low Value"))</f>
        <v>Low Value</v>
      </c>
      <c r="Y123" t="str">
        <f>IF(Table1[[#This Row],[Quantity]]&gt;=3,"Bulk Order","Regular Order")</f>
        <v>Regular Order</v>
      </c>
      <c r="Z123" t="str">
        <f>TEXT(Table1[[#This Row],[Order Date]],"dddd")</f>
        <v>Tuesday</v>
      </c>
    </row>
    <row r="124" spans="1:26" ht="14.4" x14ac:dyDescent="0.3">
      <c r="A124" t="s">
        <v>455</v>
      </c>
      <c r="B124" t="s">
        <v>456</v>
      </c>
      <c r="C124" s="2">
        <v>46200</v>
      </c>
      <c r="D124" t="s">
        <v>42</v>
      </c>
      <c r="E124" t="s">
        <v>66</v>
      </c>
      <c r="F124" t="s">
        <v>457</v>
      </c>
      <c r="G124" t="s">
        <v>186</v>
      </c>
      <c r="H124" t="s">
        <v>32</v>
      </c>
      <c r="I124" t="s">
        <v>33</v>
      </c>
      <c r="J124" t="s">
        <v>59</v>
      </c>
      <c r="K124" t="s">
        <v>95</v>
      </c>
      <c r="L124" t="s">
        <v>36</v>
      </c>
      <c r="M124">
        <v>1</v>
      </c>
      <c r="N124">
        <v>14980</v>
      </c>
      <c r="O124" s="2">
        <v>5</v>
      </c>
      <c r="P124" s="2">
        <v>14231</v>
      </c>
      <c r="Q124" s="2">
        <v>11101.33</v>
      </c>
      <c r="R124" s="2">
        <v>3129.67</v>
      </c>
      <c r="S124" t="s">
        <v>50</v>
      </c>
      <c r="T124">
        <v>5</v>
      </c>
      <c r="U124" t="s">
        <v>51</v>
      </c>
      <c r="V124" t="s">
        <v>52</v>
      </c>
      <c r="W124" s="3">
        <f>Table1[[#This Row],[Profit]]/Table1[[#This Row],[Sales]]</f>
        <v>0.21991919049961353</v>
      </c>
      <c r="X124" t="str">
        <f>IF(Table1[[#This Row],[Sales]]&gt;=30000,"High Value",IF(Table1[[#This Row],[Sales]]&gt;=15000,"Medium Value","Low Value"))</f>
        <v>Low Value</v>
      </c>
      <c r="Y124" t="str">
        <f>IF(Table1[[#This Row],[Quantity]]&gt;=3,"Bulk Order","Regular Order")</f>
        <v>Regular Order</v>
      </c>
      <c r="Z124" t="str">
        <f>TEXT(Table1[[#This Row],[Order Date]],"dddd")</f>
        <v>Saturday</v>
      </c>
    </row>
    <row r="125" spans="1:26" ht="14.4" x14ac:dyDescent="0.3">
      <c r="A125" t="s">
        <v>458</v>
      </c>
      <c r="B125" t="s">
        <v>459</v>
      </c>
      <c r="C125" s="2">
        <v>46165</v>
      </c>
      <c r="D125" t="s">
        <v>28</v>
      </c>
      <c r="E125" t="s">
        <v>133</v>
      </c>
      <c r="F125" t="s">
        <v>333</v>
      </c>
      <c r="G125" t="s">
        <v>115</v>
      </c>
      <c r="H125" t="s">
        <v>32</v>
      </c>
      <c r="I125" t="s">
        <v>33</v>
      </c>
      <c r="J125" t="s">
        <v>59</v>
      </c>
      <c r="K125" t="s">
        <v>60</v>
      </c>
      <c r="L125" t="s">
        <v>61</v>
      </c>
      <c r="M125">
        <v>2</v>
      </c>
      <c r="N125">
        <v>17687</v>
      </c>
      <c r="O125" s="2">
        <v>5</v>
      </c>
      <c r="P125" s="2">
        <v>33605.300000000003</v>
      </c>
      <c r="Q125" s="2">
        <v>26268.02</v>
      </c>
      <c r="R125" s="2">
        <v>7337.28</v>
      </c>
      <c r="S125" t="s">
        <v>37</v>
      </c>
      <c r="T125">
        <v>5</v>
      </c>
      <c r="U125" t="s">
        <v>38</v>
      </c>
      <c r="V125" t="s">
        <v>39</v>
      </c>
      <c r="W125" s="3">
        <f>Table1[[#This Row],[Profit]]/Table1[[#This Row],[Sales]]</f>
        <v>0.21833698851074085</v>
      </c>
      <c r="X125" t="str">
        <f>IF(Table1[[#This Row],[Sales]]&gt;=30000,"High Value",IF(Table1[[#This Row],[Sales]]&gt;=15000,"Medium Value","Low Value"))</f>
        <v>High Value</v>
      </c>
      <c r="Y125" t="str">
        <f>IF(Table1[[#This Row],[Quantity]]&gt;=3,"Bulk Order","Regular Order")</f>
        <v>Regular Order</v>
      </c>
      <c r="Z125" t="str">
        <f>TEXT(Table1[[#This Row],[Order Date]],"dddd")</f>
        <v>Saturday</v>
      </c>
    </row>
    <row r="126" spans="1:26" ht="14.4" x14ac:dyDescent="0.3">
      <c r="A126" t="s">
        <v>460</v>
      </c>
      <c r="B126" t="s">
        <v>461</v>
      </c>
      <c r="C126" s="2">
        <v>46161</v>
      </c>
      <c r="D126" t="s">
        <v>28</v>
      </c>
      <c r="E126" t="s">
        <v>29</v>
      </c>
      <c r="F126" t="s">
        <v>462</v>
      </c>
      <c r="G126" t="s">
        <v>45</v>
      </c>
      <c r="H126" t="s">
        <v>46</v>
      </c>
      <c r="I126" t="s">
        <v>33</v>
      </c>
      <c r="J126" t="s">
        <v>47</v>
      </c>
      <c r="K126" t="s">
        <v>48</v>
      </c>
      <c r="L126" t="s">
        <v>49</v>
      </c>
      <c r="M126">
        <v>2</v>
      </c>
      <c r="N126">
        <v>8929</v>
      </c>
      <c r="O126" s="2">
        <v>5</v>
      </c>
      <c r="P126" s="2">
        <v>16965.099999999999</v>
      </c>
      <c r="Q126" s="2">
        <v>13354.61</v>
      </c>
      <c r="R126" s="2">
        <v>3610.49</v>
      </c>
      <c r="S126" t="s">
        <v>37</v>
      </c>
      <c r="T126">
        <v>3</v>
      </c>
      <c r="U126" t="s">
        <v>51</v>
      </c>
      <c r="V126" t="s">
        <v>86</v>
      </c>
      <c r="W126" s="3">
        <f>Table1[[#This Row],[Profit]]/Table1[[#This Row],[Sales]]</f>
        <v>0.21281866891441842</v>
      </c>
      <c r="X126" t="str">
        <f>IF(Table1[[#This Row],[Sales]]&gt;=30000,"High Value",IF(Table1[[#This Row],[Sales]]&gt;=15000,"Medium Value","Low Value"))</f>
        <v>Medium Value</v>
      </c>
      <c r="Y126" t="str">
        <f>IF(Table1[[#This Row],[Quantity]]&gt;=3,"Bulk Order","Regular Order")</f>
        <v>Regular Order</v>
      </c>
      <c r="Z126" t="str">
        <f>TEXT(Table1[[#This Row],[Order Date]],"dddd")</f>
        <v>Tuesday</v>
      </c>
    </row>
    <row r="127" spans="1:26" ht="14.4" x14ac:dyDescent="0.3">
      <c r="A127" t="s">
        <v>463</v>
      </c>
      <c r="B127" t="s">
        <v>464</v>
      </c>
      <c r="C127" s="2">
        <v>46175</v>
      </c>
      <c r="D127" t="s">
        <v>42</v>
      </c>
      <c r="E127" t="s">
        <v>78</v>
      </c>
      <c r="F127" t="s">
        <v>465</v>
      </c>
      <c r="G127" t="s">
        <v>235</v>
      </c>
      <c r="H127" t="s">
        <v>46</v>
      </c>
      <c r="I127" t="s">
        <v>33</v>
      </c>
      <c r="J127" t="s">
        <v>59</v>
      </c>
      <c r="K127" t="s">
        <v>95</v>
      </c>
      <c r="L127" t="s">
        <v>36</v>
      </c>
      <c r="M127">
        <v>1</v>
      </c>
      <c r="N127">
        <v>14704</v>
      </c>
      <c r="O127" s="2">
        <v>5</v>
      </c>
      <c r="P127" s="2">
        <v>13968.8</v>
      </c>
      <c r="Q127" s="2">
        <v>11034.25</v>
      </c>
      <c r="R127" s="2">
        <v>2934.55</v>
      </c>
      <c r="S127" t="s">
        <v>37</v>
      </c>
      <c r="T127">
        <v>5</v>
      </c>
      <c r="U127" t="s">
        <v>51</v>
      </c>
      <c r="V127" t="s">
        <v>116</v>
      </c>
      <c r="W127" s="3">
        <f>Table1[[#This Row],[Profit]]/Table1[[#This Row],[Sales]]</f>
        <v>0.21007889009793257</v>
      </c>
      <c r="X127" t="str">
        <f>IF(Table1[[#This Row],[Sales]]&gt;=30000,"High Value",IF(Table1[[#This Row],[Sales]]&gt;=15000,"Medium Value","Low Value"))</f>
        <v>Low Value</v>
      </c>
      <c r="Y127" t="str">
        <f>IF(Table1[[#This Row],[Quantity]]&gt;=3,"Bulk Order","Regular Order")</f>
        <v>Regular Order</v>
      </c>
      <c r="Z127" t="str">
        <f>TEXT(Table1[[#This Row],[Order Date]],"dddd")</f>
        <v>Tuesday</v>
      </c>
    </row>
    <row r="128" spans="1:26" ht="14.4" x14ac:dyDescent="0.3">
      <c r="A128" t="s">
        <v>466</v>
      </c>
      <c r="B128" t="s">
        <v>467</v>
      </c>
      <c r="C128" s="2">
        <v>46166</v>
      </c>
      <c r="D128" t="s">
        <v>28</v>
      </c>
      <c r="E128" t="s">
        <v>29</v>
      </c>
      <c r="F128" t="s">
        <v>181</v>
      </c>
      <c r="G128" t="s">
        <v>138</v>
      </c>
      <c r="H128" t="s">
        <v>32</v>
      </c>
      <c r="I128" t="s">
        <v>33</v>
      </c>
      <c r="J128" t="s">
        <v>47</v>
      </c>
      <c r="K128" t="s">
        <v>48</v>
      </c>
      <c r="L128" t="s">
        <v>49</v>
      </c>
      <c r="M128">
        <v>2</v>
      </c>
      <c r="N128">
        <v>7431</v>
      </c>
      <c r="O128" s="2">
        <v>0</v>
      </c>
      <c r="P128" s="2">
        <v>14862</v>
      </c>
      <c r="Q128" s="2">
        <v>11621.95</v>
      </c>
      <c r="R128" s="2">
        <v>3240.05</v>
      </c>
      <c r="S128" t="s">
        <v>50</v>
      </c>
      <c r="T128">
        <v>5</v>
      </c>
      <c r="U128" t="s">
        <v>51</v>
      </c>
      <c r="V128" t="s">
        <v>86</v>
      </c>
      <c r="W128" s="3">
        <f>Table1[[#This Row],[Profit]]/Table1[[#This Row],[Sales]]</f>
        <v>0.21800901628313821</v>
      </c>
      <c r="X128" t="str">
        <f>IF(Table1[[#This Row],[Sales]]&gt;=30000,"High Value",IF(Table1[[#This Row],[Sales]]&gt;=15000,"Medium Value","Low Value"))</f>
        <v>Low Value</v>
      </c>
      <c r="Y128" t="str">
        <f>IF(Table1[[#This Row],[Quantity]]&gt;=3,"Bulk Order","Regular Order")</f>
        <v>Regular Order</v>
      </c>
      <c r="Z128" t="str">
        <f>TEXT(Table1[[#This Row],[Order Date]],"dddd")</f>
        <v>Sunday</v>
      </c>
    </row>
    <row r="129" spans="1:26" ht="14.4" x14ac:dyDescent="0.3">
      <c r="A129" t="s">
        <v>468</v>
      </c>
      <c r="B129" t="s">
        <v>469</v>
      </c>
      <c r="C129" s="2">
        <v>46166</v>
      </c>
      <c r="D129" t="s">
        <v>28</v>
      </c>
      <c r="E129" t="s">
        <v>133</v>
      </c>
      <c r="F129" t="s">
        <v>164</v>
      </c>
      <c r="G129" t="s">
        <v>85</v>
      </c>
      <c r="H129" t="s">
        <v>32</v>
      </c>
      <c r="I129" t="s">
        <v>33</v>
      </c>
      <c r="J129" t="s">
        <v>47</v>
      </c>
      <c r="K129" t="s">
        <v>69</v>
      </c>
      <c r="L129" t="s">
        <v>70</v>
      </c>
      <c r="M129">
        <v>2</v>
      </c>
      <c r="N129">
        <v>9058</v>
      </c>
      <c r="O129" s="2">
        <v>0</v>
      </c>
      <c r="P129" s="2">
        <v>18116</v>
      </c>
      <c r="Q129" s="2">
        <v>14303.4</v>
      </c>
      <c r="R129" s="2">
        <v>3812.6</v>
      </c>
      <c r="S129" t="s">
        <v>37</v>
      </c>
      <c r="T129">
        <v>5</v>
      </c>
      <c r="U129" t="s">
        <v>38</v>
      </c>
      <c r="V129" t="s">
        <v>39</v>
      </c>
      <c r="W129" s="3">
        <f>Table1[[#This Row],[Profit]]/Table1[[#This Row],[Sales]]</f>
        <v>0.21045484654449106</v>
      </c>
      <c r="X129" t="str">
        <f>IF(Table1[[#This Row],[Sales]]&gt;=30000,"High Value",IF(Table1[[#This Row],[Sales]]&gt;=15000,"Medium Value","Low Value"))</f>
        <v>Medium Value</v>
      </c>
      <c r="Y129" t="str">
        <f>IF(Table1[[#This Row],[Quantity]]&gt;=3,"Bulk Order","Regular Order")</f>
        <v>Regular Order</v>
      </c>
      <c r="Z129" t="str">
        <f>TEXT(Table1[[#This Row],[Order Date]],"dddd")</f>
        <v>Sunday</v>
      </c>
    </row>
    <row r="130" spans="1:26" ht="14.4" x14ac:dyDescent="0.3">
      <c r="A130" t="s">
        <v>470</v>
      </c>
      <c r="B130" t="s">
        <v>471</v>
      </c>
      <c r="C130" s="2">
        <v>46157</v>
      </c>
      <c r="D130" t="s">
        <v>28</v>
      </c>
      <c r="E130" t="s">
        <v>55</v>
      </c>
      <c r="F130" t="s">
        <v>472</v>
      </c>
      <c r="G130" t="s">
        <v>286</v>
      </c>
      <c r="H130" t="s">
        <v>46</v>
      </c>
      <c r="I130" t="s">
        <v>58</v>
      </c>
      <c r="J130" t="s">
        <v>59</v>
      </c>
      <c r="K130" t="s">
        <v>60</v>
      </c>
      <c r="L130" t="s">
        <v>61</v>
      </c>
      <c r="M130">
        <v>4</v>
      </c>
      <c r="N130">
        <v>17274</v>
      </c>
      <c r="O130" s="2">
        <v>5</v>
      </c>
      <c r="P130" s="2">
        <v>65641.2</v>
      </c>
      <c r="Q130" s="2">
        <v>52695.77</v>
      </c>
      <c r="R130" s="2">
        <v>12945.43</v>
      </c>
      <c r="S130" t="s">
        <v>81</v>
      </c>
      <c r="T130">
        <v>5</v>
      </c>
      <c r="U130" t="s">
        <v>51</v>
      </c>
      <c r="V130" t="s">
        <v>63</v>
      </c>
      <c r="W130" s="3">
        <f>Table1[[#This Row],[Profit]]/Table1[[#This Row],[Sales]]</f>
        <v>0.19721501130387623</v>
      </c>
      <c r="X130" t="str">
        <f>IF(Table1[[#This Row],[Sales]]&gt;=30000,"High Value",IF(Table1[[#This Row],[Sales]]&gt;=15000,"Medium Value","Low Value"))</f>
        <v>High Value</v>
      </c>
      <c r="Y130" t="str">
        <f>IF(Table1[[#This Row],[Quantity]]&gt;=3,"Bulk Order","Regular Order")</f>
        <v>Bulk Order</v>
      </c>
      <c r="Z130" t="str">
        <f>TEXT(Table1[[#This Row],[Order Date]],"dddd")</f>
        <v>Friday</v>
      </c>
    </row>
    <row r="131" spans="1:26" ht="14.4" x14ac:dyDescent="0.3">
      <c r="A131" t="s">
        <v>473</v>
      </c>
      <c r="B131" t="s">
        <v>474</v>
      </c>
      <c r="C131" s="2">
        <v>46158</v>
      </c>
      <c r="D131" t="s">
        <v>28</v>
      </c>
      <c r="E131" t="s">
        <v>133</v>
      </c>
      <c r="F131" t="s">
        <v>438</v>
      </c>
      <c r="G131" t="s">
        <v>168</v>
      </c>
      <c r="H131" t="s">
        <v>32</v>
      </c>
      <c r="I131" t="s">
        <v>33</v>
      </c>
      <c r="J131" t="s">
        <v>47</v>
      </c>
      <c r="K131" t="s">
        <v>48</v>
      </c>
      <c r="L131" t="s">
        <v>49</v>
      </c>
      <c r="M131">
        <v>1</v>
      </c>
      <c r="N131">
        <v>7659</v>
      </c>
      <c r="O131" s="2">
        <v>5</v>
      </c>
      <c r="P131" s="2">
        <v>7276.05</v>
      </c>
      <c r="Q131" s="2">
        <v>5793.15</v>
      </c>
      <c r="R131" s="2">
        <v>1482.9</v>
      </c>
      <c r="S131" t="s">
        <v>50</v>
      </c>
      <c r="T131">
        <v>5</v>
      </c>
      <c r="U131" t="s">
        <v>51</v>
      </c>
      <c r="V131" t="s">
        <v>86</v>
      </c>
      <c r="W131" s="3">
        <f>Table1[[#This Row],[Profit]]/Table1[[#This Row],[Sales]]</f>
        <v>0.20380563629991549</v>
      </c>
      <c r="X131" t="str">
        <f>IF(Table1[[#This Row],[Sales]]&gt;=30000,"High Value",IF(Table1[[#This Row],[Sales]]&gt;=15000,"Medium Value","Low Value"))</f>
        <v>Low Value</v>
      </c>
      <c r="Y131" t="str">
        <f>IF(Table1[[#This Row],[Quantity]]&gt;=3,"Bulk Order","Regular Order")</f>
        <v>Regular Order</v>
      </c>
      <c r="Z131" t="str">
        <f>TEXT(Table1[[#This Row],[Order Date]],"dddd")</f>
        <v>Saturday</v>
      </c>
    </row>
    <row r="132" spans="1:26" ht="14.4" x14ac:dyDescent="0.3">
      <c r="A132" t="s">
        <v>475</v>
      </c>
      <c r="B132" t="s">
        <v>476</v>
      </c>
      <c r="C132" s="2">
        <v>46149</v>
      </c>
      <c r="D132" t="s">
        <v>28</v>
      </c>
      <c r="E132" t="s">
        <v>43</v>
      </c>
      <c r="F132" t="s">
        <v>477</v>
      </c>
      <c r="G132" t="s">
        <v>124</v>
      </c>
      <c r="H132" t="s">
        <v>46</v>
      </c>
      <c r="I132" t="s">
        <v>33</v>
      </c>
      <c r="J132" t="s">
        <v>59</v>
      </c>
      <c r="K132" t="s">
        <v>95</v>
      </c>
      <c r="L132" t="s">
        <v>36</v>
      </c>
      <c r="M132">
        <v>1</v>
      </c>
      <c r="N132">
        <v>15911</v>
      </c>
      <c r="O132" s="2">
        <v>0</v>
      </c>
      <c r="P132" s="2">
        <v>15911</v>
      </c>
      <c r="Q132" s="2">
        <v>12705.51</v>
      </c>
      <c r="R132" s="2">
        <v>3205.49</v>
      </c>
      <c r="S132" t="s">
        <v>37</v>
      </c>
      <c r="T132">
        <v>4</v>
      </c>
      <c r="U132" t="s">
        <v>51</v>
      </c>
      <c r="V132" t="s">
        <v>52</v>
      </c>
      <c r="W132" s="3">
        <f>Table1[[#This Row],[Profit]]/Table1[[#This Row],[Sales]]</f>
        <v>0.20146376720507822</v>
      </c>
      <c r="X132" t="str">
        <f>IF(Table1[[#This Row],[Sales]]&gt;=30000,"High Value",IF(Table1[[#This Row],[Sales]]&gt;=15000,"Medium Value","Low Value"))</f>
        <v>Medium Value</v>
      </c>
      <c r="Y132" t="str">
        <f>IF(Table1[[#This Row],[Quantity]]&gt;=3,"Bulk Order","Regular Order")</f>
        <v>Regular Order</v>
      </c>
      <c r="Z132" t="str">
        <f>TEXT(Table1[[#This Row],[Order Date]],"dddd")</f>
        <v>Thursday</v>
      </c>
    </row>
    <row r="133" spans="1:26" ht="14.4" x14ac:dyDescent="0.3">
      <c r="A133" t="s">
        <v>478</v>
      </c>
      <c r="B133" t="s">
        <v>479</v>
      </c>
      <c r="C133" s="2">
        <v>46164</v>
      </c>
      <c r="D133" t="s">
        <v>28</v>
      </c>
      <c r="E133" t="s">
        <v>133</v>
      </c>
      <c r="F133" t="s">
        <v>228</v>
      </c>
      <c r="G133" t="s">
        <v>375</v>
      </c>
      <c r="H133" t="s">
        <v>32</v>
      </c>
      <c r="I133" t="s">
        <v>33</v>
      </c>
      <c r="J133" t="s">
        <v>47</v>
      </c>
      <c r="K133" t="s">
        <v>69</v>
      </c>
      <c r="L133" t="s">
        <v>70</v>
      </c>
      <c r="M133">
        <v>2</v>
      </c>
      <c r="N133">
        <v>8752</v>
      </c>
      <c r="O133" s="2">
        <v>15</v>
      </c>
      <c r="P133" s="2">
        <v>14878.4</v>
      </c>
      <c r="Q133" s="2">
        <v>12065.55</v>
      </c>
      <c r="R133" s="2">
        <v>2812.85</v>
      </c>
      <c r="S133" t="s">
        <v>37</v>
      </c>
      <c r="T133">
        <v>3</v>
      </c>
      <c r="U133" t="s">
        <v>51</v>
      </c>
      <c r="V133" t="s">
        <v>63</v>
      </c>
      <c r="W133" s="3">
        <f>Table1[[#This Row],[Profit]]/Table1[[#This Row],[Sales]]</f>
        <v>0.18905594687600819</v>
      </c>
      <c r="X133" t="str">
        <f>IF(Table1[[#This Row],[Sales]]&gt;=30000,"High Value",IF(Table1[[#This Row],[Sales]]&gt;=15000,"Medium Value","Low Value"))</f>
        <v>Low Value</v>
      </c>
      <c r="Y133" t="str">
        <f>IF(Table1[[#This Row],[Quantity]]&gt;=3,"Bulk Order","Regular Order")</f>
        <v>Regular Order</v>
      </c>
      <c r="Z133" t="str">
        <f>TEXT(Table1[[#This Row],[Order Date]],"dddd")</f>
        <v>Friday</v>
      </c>
    </row>
    <row r="134" spans="1:26" ht="14.4" x14ac:dyDescent="0.3">
      <c r="A134" t="s">
        <v>480</v>
      </c>
      <c r="B134" t="s">
        <v>481</v>
      </c>
      <c r="C134" s="2">
        <v>46159</v>
      </c>
      <c r="D134" t="s">
        <v>28</v>
      </c>
      <c r="E134" t="s">
        <v>66</v>
      </c>
      <c r="F134" t="s">
        <v>482</v>
      </c>
      <c r="G134" t="s">
        <v>175</v>
      </c>
      <c r="H134" t="s">
        <v>32</v>
      </c>
      <c r="I134" t="s">
        <v>33</v>
      </c>
      <c r="J134" t="s">
        <v>59</v>
      </c>
      <c r="K134" t="s">
        <v>95</v>
      </c>
      <c r="L134" t="s">
        <v>36</v>
      </c>
      <c r="M134">
        <v>1</v>
      </c>
      <c r="N134">
        <v>16086</v>
      </c>
      <c r="O134" s="2">
        <v>0</v>
      </c>
      <c r="P134" s="2">
        <v>16086</v>
      </c>
      <c r="Q134" s="2">
        <v>13127.46</v>
      </c>
      <c r="R134" s="2">
        <v>2958.54</v>
      </c>
      <c r="S134" t="s">
        <v>37</v>
      </c>
      <c r="T134">
        <v>5</v>
      </c>
      <c r="U134" t="s">
        <v>51</v>
      </c>
      <c r="V134" t="s">
        <v>52</v>
      </c>
      <c r="W134" s="3">
        <f>Table1[[#This Row],[Profit]]/Table1[[#This Row],[Sales]]</f>
        <v>0.18392017903767252</v>
      </c>
      <c r="X134" t="str">
        <f>IF(Table1[[#This Row],[Sales]]&gt;=30000,"High Value",IF(Table1[[#This Row],[Sales]]&gt;=15000,"Medium Value","Low Value"))</f>
        <v>Medium Value</v>
      </c>
      <c r="Y134" t="str">
        <f>IF(Table1[[#This Row],[Quantity]]&gt;=3,"Bulk Order","Regular Order")</f>
        <v>Regular Order</v>
      </c>
      <c r="Z134" t="str">
        <f>TEXT(Table1[[#This Row],[Order Date]],"dddd")</f>
        <v>Sunday</v>
      </c>
    </row>
    <row r="135" spans="1:26" ht="14.4" x14ac:dyDescent="0.3">
      <c r="A135" t="s">
        <v>483</v>
      </c>
      <c r="B135" t="s">
        <v>484</v>
      </c>
      <c r="C135" s="2">
        <v>46178</v>
      </c>
      <c r="D135" t="s">
        <v>42</v>
      </c>
      <c r="E135" t="s">
        <v>78</v>
      </c>
      <c r="F135" t="s">
        <v>429</v>
      </c>
      <c r="G135" t="s">
        <v>161</v>
      </c>
      <c r="H135" t="s">
        <v>32</v>
      </c>
      <c r="I135" t="s">
        <v>33</v>
      </c>
      <c r="J135" t="s">
        <v>59</v>
      </c>
      <c r="K135" t="s">
        <v>60</v>
      </c>
      <c r="L135" t="s">
        <v>61</v>
      </c>
      <c r="M135">
        <v>2</v>
      </c>
      <c r="N135">
        <v>15648</v>
      </c>
      <c r="O135" s="2">
        <v>10</v>
      </c>
      <c r="P135" s="2">
        <v>28166.400000000001</v>
      </c>
      <c r="Q135" s="2">
        <v>22656.54</v>
      </c>
      <c r="R135" s="2">
        <v>5509.86</v>
      </c>
      <c r="S135" t="s">
        <v>50</v>
      </c>
      <c r="T135">
        <v>4</v>
      </c>
      <c r="U135" t="s">
        <v>51</v>
      </c>
      <c r="V135" t="s">
        <v>52</v>
      </c>
      <c r="W135" s="3">
        <f>Table1[[#This Row],[Profit]]/Table1[[#This Row],[Sales]]</f>
        <v>0.19561818336741649</v>
      </c>
      <c r="X135" t="str">
        <f>IF(Table1[[#This Row],[Sales]]&gt;=30000,"High Value",IF(Table1[[#This Row],[Sales]]&gt;=15000,"Medium Value","Low Value"))</f>
        <v>Medium Value</v>
      </c>
      <c r="Y135" t="str">
        <f>IF(Table1[[#This Row],[Quantity]]&gt;=3,"Bulk Order","Regular Order")</f>
        <v>Regular Order</v>
      </c>
      <c r="Z135" t="str">
        <f>TEXT(Table1[[#This Row],[Order Date]],"dddd")</f>
        <v>Friday</v>
      </c>
    </row>
    <row r="136" spans="1:26" ht="14.4" x14ac:dyDescent="0.3">
      <c r="A136" t="s">
        <v>485</v>
      </c>
      <c r="B136" t="s">
        <v>486</v>
      </c>
      <c r="C136" s="2">
        <v>46162</v>
      </c>
      <c r="D136" t="s">
        <v>28</v>
      </c>
      <c r="E136" t="s">
        <v>55</v>
      </c>
      <c r="F136" t="s">
        <v>487</v>
      </c>
      <c r="G136" t="s">
        <v>31</v>
      </c>
      <c r="H136" t="s">
        <v>32</v>
      </c>
      <c r="I136" t="s">
        <v>33</v>
      </c>
      <c r="J136" t="s">
        <v>34</v>
      </c>
      <c r="K136" t="s">
        <v>35</v>
      </c>
      <c r="L136" t="s">
        <v>36</v>
      </c>
      <c r="M136">
        <v>1</v>
      </c>
      <c r="N136">
        <v>11049</v>
      </c>
      <c r="O136" s="2">
        <v>5</v>
      </c>
      <c r="P136" s="2">
        <v>10496.55</v>
      </c>
      <c r="Q136" s="2">
        <v>8593.08</v>
      </c>
      <c r="R136" s="2">
        <v>1903.47</v>
      </c>
      <c r="S136" t="s">
        <v>50</v>
      </c>
      <c r="T136">
        <v>4</v>
      </c>
      <c r="U136" t="s">
        <v>51</v>
      </c>
      <c r="V136" t="s">
        <v>52</v>
      </c>
      <c r="W136" s="3">
        <f>Table1[[#This Row],[Profit]]/Table1[[#This Row],[Sales]]</f>
        <v>0.18134244108778599</v>
      </c>
      <c r="X136" t="str">
        <f>IF(Table1[[#This Row],[Sales]]&gt;=30000,"High Value",IF(Table1[[#This Row],[Sales]]&gt;=15000,"Medium Value","Low Value"))</f>
        <v>Low Value</v>
      </c>
      <c r="Y136" t="str">
        <f>IF(Table1[[#This Row],[Quantity]]&gt;=3,"Bulk Order","Regular Order")</f>
        <v>Regular Order</v>
      </c>
      <c r="Z136" t="str">
        <f>TEXT(Table1[[#This Row],[Order Date]],"dddd")</f>
        <v>Wednesday</v>
      </c>
    </row>
    <row r="137" spans="1:26" ht="14.4" x14ac:dyDescent="0.3">
      <c r="A137" t="s">
        <v>488</v>
      </c>
      <c r="B137" t="s">
        <v>489</v>
      </c>
      <c r="C137" s="2">
        <v>46143</v>
      </c>
      <c r="D137" t="s">
        <v>28</v>
      </c>
      <c r="E137" t="s">
        <v>43</v>
      </c>
      <c r="F137" t="s">
        <v>490</v>
      </c>
      <c r="G137" t="s">
        <v>218</v>
      </c>
      <c r="H137" t="s">
        <v>46</v>
      </c>
      <c r="I137" t="s">
        <v>58</v>
      </c>
      <c r="J137" t="s">
        <v>169</v>
      </c>
      <c r="K137" t="s">
        <v>170</v>
      </c>
      <c r="L137" t="s">
        <v>171</v>
      </c>
      <c r="M137">
        <v>4</v>
      </c>
      <c r="N137">
        <v>11811</v>
      </c>
      <c r="O137" s="2">
        <v>5</v>
      </c>
      <c r="P137" s="2">
        <v>44881.8</v>
      </c>
      <c r="Q137" s="2">
        <v>35470.76</v>
      </c>
      <c r="R137" s="2">
        <v>9411.0400000000009</v>
      </c>
      <c r="S137" t="s">
        <v>50</v>
      </c>
      <c r="T137">
        <v>5</v>
      </c>
      <c r="U137" t="s">
        <v>51</v>
      </c>
      <c r="V137" t="s">
        <v>116</v>
      </c>
      <c r="W137" s="3">
        <f>Table1[[#This Row],[Profit]]/Table1[[#This Row],[Sales]]</f>
        <v>0.2096849948085861</v>
      </c>
      <c r="X137" t="str">
        <f>IF(Table1[[#This Row],[Sales]]&gt;=30000,"High Value",IF(Table1[[#This Row],[Sales]]&gt;=15000,"Medium Value","Low Value"))</f>
        <v>High Value</v>
      </c>
      <c r="Y137" t="str">
        <f>IF(Table1[[#This Row],[Quantity]]&gt;=3,"Bulk Order","Regular Order")</f>
        <v>Bulk Order</v>
      </c>
      <c r="Z137" t="str">
        <f>TEXT(Table1[[#This Row],[Order Date]],"dddd")</f>
        <v>Friday</v>
      </c>
    </row>
    <row r="138" spans="1:26" ht="14.4" x14ac:dyDescent="0.3">
      <c r="A138" t="s">
        <v>491</v>
      </c>
      <c r="B138" t="s">
        <v>492</v>
      </c>
      <c r="C138" s="2">
        <v>46192</v>
      </c>
      <c r="D138" t="s">
        <v>42</v>
      </c>
      <c r="E138" t="s">
        <v>55</v>
      </c>
      <c r="F138" t="s">
        <v>493</v>
      </c>
      <c r="G138" t="s">
        <v>186</v>
      </c>
      <c r="H138" t="s">
        <v>32</v>
      </c>
      <c r="I138" t="s">
        <v>33</v>
      </c>
      <c r="J138" t="s">
        <v>34</v>
      </c>
      <c r="K138" t="s">
        <v>35</v>
      </c>
      <c r="L138" t="s">
        <v>36</v>
      </c>
      <c r="M138">
        <v>1</v>
      </c>
      <c r="N138">
        <v>12264</v>
      </c>
      <c r="O138" s="2">
        <v>0</v>
      </c>
      <c r="P138" s="2">
        <v>12264</v>
      </c>
      <c r="Q138" s="2">
        <v>9673.5300000000007</v>
      </c>
      <c r="R138" s="2">
        <v>2590.4699999999998</v>
      </c>
      <c r="S138" t="s">
        <v>81</v>
      </c>
      <c r="T138">
        <v>4</v>
      </c>
      <c r="U138" t="s">
        <v>51</v>
      </c>
      <c r="V138" t="s">
        <v>63</v>
      </c>
      <c r="W138" s="3">
        <f>Table1[[#This Row],[Profit]]/Table1[[#This Row],[Sales]]</f>
        <v>0.21122553816046966</v>
      </c>
      <c r="X138" t="str">
        <f>IF(Table1[[#This Row],[Sales]]&gt;=30000,"High Value",IF(Table1[[#This Row],[Sales]]&gt;=15000,"Medium Value","Low Value"))</f>
        <v>Low Value</v>
      </c>
      <c r="Y138" t="str">
        <f>IF(Table1[[#This Row],[Quantity]]&gt;=3,"Bulk Order","Regular Order")</f>
        <v>Regular Order</v>
      </c>
      <c r="Z138" t="str">
        <f>TEXT(Table1[[#This Row],[Order Date]],"dddd")</f>
        <v>Friday</v>
      </c>
    </row>
    <row r="139" spans="1:26" ht="14.4" x14ac:dyDescent="0.3">
      <c r="A139" t="s">
        <v>494</v>
      </c>
      <c r="B139" t="s">
        <v>495</v>
      </c>
      <c r="C139" s="2">
        <v>46169</v>
      </c>
      <c r="D139" t="s">
        <v>28</v>
      </c>
      <c r="E139" t="s">
        <v>55</v>
      </c>
      <c r="F139" t="s">
        <v>496</v>
      </c>
      <c r="G139" t="s">
        <v>235</v>
      </c>
      <c r="H139" t="s">
        <v>46</v>
      </c>
      <c r="I139" t="s">
        <v>33</v>
      </c>
      <c r="J139" t="s">
        <v>59</v>
      </c>
      <c r="K139" t="s">
        <v>60</v>
      </c>
      <c r="L139" t="s">
        <v>61</v>
      </c>
      <c r="M139">
        <v>2</v>
      </c>
      <c r="N139">
        <v>17130</v>
      </c>
      <c r="O139" s="2">
        <v>15</v>
      </c>
      <c r="P139" s="2">
        <v>29121</v>
      </c>
      <c r="Q139" s="2">
        <v>22930.21</v>
      </c>
      <c r="R139" s="2">
        <v>6190.79</v>
      </c>
      <c r="S139" t="s">
        <v>37</v>
      </c>
      <c r="T139">
        <v>4</v>
      </c>
      <c r="U139" t="s">
        <v>51</v>
      </c>
      <c r="V139" t="s">
        <v>116</v>
      </c>
      <c r="W139" s="3">
        <f>Table1[[#This Row],[Profit]]/Table1[[#This Row],[Sales]]</f>
        <v>0.21258851000995846</v>
      </c>
      <c r="X139" t="str">
        <f>IF(Table1[[#This Row],[Sales]]&gt;=30000,"High Value",IF(Table1[[#This Row],[Sales]]&gt;=15000,"Medium Value","Low Value"))</f>
        <v>Medium Value</v>
      </c>
      <c r="Y139" t="str">
        <f>IF(Table1[[#This Row],[Quantity]]&gt;=3,"Bulk Order","Regular Order")</f>
        <v>Regular Order</v>
      </c>
      <c r="Z139" t="str">
        <f>TEXT(Table1[[#This Row],[Order Date]],"dddd")</f>
        <v>Wednesday</v>
      </c>
    </row>
    <row r="140" spans="1:26" ht="14.4" x14ac:dyDescent="0.3">
      <c r="A140" t="s">
        <v>497</v>
      </c>
      <c r="B140" t="s">
        <v>498</v>
      </c>
      <c r="C140" s="2">
        <v>46177</v>
      </c>
      <c r="D140" t="s">
        <v>42</v>
      </c>
      <c r="E140" t="s">
        <v>55</v>
      </c>
      <c r="F140" t="s">
        <v>465</v>
      </c>
      <c r="G140" t="s">
        <v>417</v>
      </c>
      <c r="H140" t="s">
        <v>46</v>
      </c>
      <c r="I140" t="s">
        <v>33</v>
      </c>
      <c r="J140" t="s">
        <v>59</v>
      </c>
      <c r="K140" t="s">
        <v>60</v>
      </c>
      <c r="L140" t="s">
        <v>61</v>
      </c>
      <c r="M140">
        <v>2</v>
      </c>
      <c r="N140">
        <v>17376</v>
      </c>
      <c r="O140" s="2">
        <v>0</v>
      </c>
      <c r="P140" s="2">
        <v>34752</v>
      </c>
      <c r="Q140" s="2">
        <v>28005.43</v>
      </c>
      <c r="R140" s="2">
        <v>6746.57</v>
      </c>
      <c r="S140" t="s">
        <v>37</v>
      </c>
      <c r="T140">
        <v>3</v>
      </c>
      <c r="U140" t="s">
        <v>51</v>
      </c>
      <c r="V140" t="s">
        <v>75</v>
      </c>
      <c r="W140" s="3">
        <f>Table1[[#This Row],[Profit]]/Table1[[#This Row],[Sales]]</f>
        <v>0.19413472605893184</v>
      </c>
      <c r="X140" t="str">
        <f>IF(Table1[[#This Row],[Sales]]&gt;=30000,"High Value",IF(Table1[[#This Row],[Sales]]&gt;=15000,"Medium Value","Low Value"))</f>
        <v>High Value</v>
      </c>
      <c r="Y140" t="str">
        <f>IF(Table1[[#This Row],[Quantity]]&gt;=3,"Bulk Order","Regular Order")</f>
        <v>Regular Order</v>
      </c>
      <c r="Z140" t="str">
        <f>TEXT(Table1[[#This Row],[Order Date]],"dddd")</f>
        <v>Thursday</v>
      </c>
    </row>
    <row r="141" spans="1:26" ht="14.4" x14ac:dyDescent="0.3">
      <c r="A141" t="s">
        <v>499</v>
      </c>
      <c r="B141" t="s">
        <v>500</v>
      </c>
      <c r="C141" s="2">
        <v>46160</v>
      </c>
      <c r="D141" t="s">
        <v>28</v>
      </c>
      <c r="E141" t="s">
        <v>66</v>
      </c>
      <c r="F141" t="s">
        <v>445</v>
      </c>
      <c r="G141" t="s">
        <v>74</v>
      </c>
      <c r="H141" t="s">
        <v>46</v>
      </c>
      <c r="I141" t="s">
        <v>33</v>
      </c>
      <c r="J141" t="s">
        <v>47</v>
      </c>
      <c r="K141" t="s">
        <v>69</v>
      </c>
      <c r="L141" t="s">
        <v>70</v>
      </c>
      <c r="M141">
        <v>1</v>
      </c>
      <c r="N141">
        <v>7602</v>
      </c>
      <c r="O141" s="2">
        <v>15</v>
      </c>
      <c r="P141" s="2">
        <v>6461.7</v>
      </c>
      <c r="Q141" s="2">
        <v>5210.03</v>
      </c>
      <c r="R141" s="2">
        <v>1251.67</v>
      </c>
      <c r="S141" t="s">
        <v>37</v>
      </c>
      <c r="T141">
        <v>5</v>
      </c>
      <c r="U141" t="s">
        <v>38</v>
      </c>
      <c r="V141" t="s">
        <v>52</v>
      </c>
      <c r="W141" s="3">
        <f>Table1[[#This Row],[Profit]]/Table1[[#This Row],[Sales]]</f>
        <v>0.19370599068356625</v>
      </c>
      <c r="X141" t="str">
        <f>IF(Table1[[#This Row],[Sales]]&gt;=30000,"High Value",IF(Table1[[#This Row],[Sales]]&gt;=15000,"Medium Value","Low Value"))</f>
        <v>Low Value</v>
      </c>
      <c r="Y141" t="str">
        <f>IF(Table1[[#This Row],[Quantity]]&gt;=3,"Bulk Order","Regular Order")</f>
        <v>Regular Order</v>
      </c>
      <c r="Z141" t="str">
        <f>TEXT(Table1[[#This Row],[Order Date]],"dddd")</f>
        <v>Monday</v>
      </c>
    </row>
    <row r="142" spans="1:26" ht="14.4" x14ac:dyDescent="0.3">
      <c r="A142" t="s">
        <v>501</v>
      </c>
      <c r="B142" t="s">
        <v>502</v>
      </c>
      <c r="C142" s="2">
        <v>46183</v>
      </c>
      <c r="D142" t="s">
        <v>42</v>
      </c>
      <c r="E142" t="s">
        <v>55</v>
      </c>
      <c r="F142" t="s">
        <v>503</v>
      </c>
      <c r="G142" t="s">
        <v>120</v>
      </c>
      <c r="H142" t="s">
        <v>46</v>
      </c>
      <c r="I142" t="s">
        <v>58</v>
      </c>
      <c r="J142" t="s">
        <v>59</v>
      </c>
      <c r="K142" t="s">
        <v>60</v>
      </c>
      <c r="L142" t="s">
        <v>61</v>
      </c>
      <c r="M142">
        <v>5</v>
      </c>
      <c r="N142">
        <v>16382</v>
      </c>
      <c r="O142" s="2">
        <v>10</v>
      </c>
      <c r="P142" s="2">
        <v>73719</v>
      </c>
      <c r="Q142" s="2">
        <v>58527.91</v>
      </c>
      <c r="R142" s="2">
        <v>15191.09</v>
      </c>
      <c r="S142" t="s">
        <v>50</v>
      </c>
      <c r="T142">
        <v>4</v>
      </c>
      <c r="U142" t="s">
        <v>51</v>
      </c>
      <c r="V142" t="s">
        <v>52</v>
      </c>
      <c r="W142" s="3">
        <f>Table1[[#This Row],[Profit]]/Table1[[#This Row],[Sales]]</f>
        <v>0.20606749955913672</v>
      </c>
      <c r="X142" t="str">
        <f>IF(Table1[[#This Row],[Sales]]&gt;=30000,"High Value",IF(Table1[[#This Row],[Sales]]&gt;=15000,"Medium Value","Low Value"))</f>
        <v>High Value</v>
      </c>
      <c r="Y142" t="str">
        <f>IF(Table1[[#This Row],[Quantity]]&gt;=3,"Bulk Order","Regular Order")</f>
        <v>Bulk Order</v>
      </c>
      <c r="Z142" t="str">
        <f>TEXT(Table1[[#This Row],[Order Date]],"dddd")</f>
        <v>Wednesday</v>
      </c>
    </row>
    <row r="143" spans="1:26" ht="14.4" x14ac:dyDescent="0.3">
      <c r="A143" t="s">
        <v>504</v>
      </c>
      <c r="B143" t="s">
        <v>505</v>
      </c>
      <c r="C143" s="2">
        <v>46182</v>
      </c>
      <c r="D143" t="s">
        <v>42</v>
      </c>
      <c r="E143" t="s">
        <v>102</v>
      </c>
      <c r="F143" t="s">
        <v>506</v>
      </c>
      <c r="G143" t="s">
        <v>99</v>
      </c>
      <c r="H143" t="s">
        <v>46</v>
      </c>
      <c r="I143" t="s">
        <v>33</v>
      </c>
      <c r="J143" t="s">
        <v>59</v>
      </c>
      <c r="K143" t="s">
        <v>95</v>
      </c>
      <c r="L143" t="s">
        <v>36</v>
      </c>
      <c r="M143">
        <v>1</v>
      </c>
      <c r="N143">
        <v>15166</v>
      </c>
      <c r="O143" s="2">
        <v>0</v>
      </c>
      <c r="P143" s="2">
        <v>15166</v>
      </c>
      <c r="Q143" s="2">
        <v>12017.54</v>
      </c>
      <c r="R143" s="2">
        <v>3148.46</v>
      </c>
      <c r="S143" t="s">
        <v>37</v>
      </c>
      <c r="T143">
        <v>4</v>
      </c>
      <c r="U143" t="s">
        <v>51</v>
      </c>
      <c r="V143" t="s">
        <v>116</v>
      </c>
      <c r="W143" s="3">
        <f>Table1[[#This Row],[Profit]]/Table1[[#This Row],[Sales]]</f>
        <v>0.2075998945008572</v>
      </c>
      <c r="X143" t="str">
        <f>IF(Table1[[#This Row],[Sales]]&gt;=30000,"High Value",IF(Table1[[#This Row],[Sales]]&gt;=15000,"Medium Value","Low Value"))</f>
        <v>Medium Value</v>
      </c>
      <c r="Y143" t="str">
        <f>IF(Table1[[#This Row],[Quantity]]&gt;=3,"Bulk Order","Regular Order")</f>
        <v>Regular Order</v>
      </c>
      <c r="Z143" t="str">
        <f>TEXT(Table1[[#This Row],[Order Date]],"dddd")</f>
        <v>Tuesday</v>
      </c>
    </row>
    <row r="144" spans="1:26" ht="14.4" x14ac:dyDescent="0.3">
      <c r="A144" t="s">
        <v>507</v>
      </c>
      <c r="B144" t="s">
        <v>508</v>
      </c>
      <c r="C144" s="2">
        <v>46178</v>
      </c>
      <c r="D144" t="s">
        <v>42</v>
      </c>
      <c r="E144" t="s">
        <v>55</v>
      </c>
      <c r="F144" t="s">
        <v>509</v>
      </c>
      <c r="G144" t="s">
        <v>283</v>
      </c>
      <c r="H144" t="s">
        <v>32</v>
      </c>
      <c r="I144" t="s">
        <v>58</v>
      </c>
      <c r="J144" t="s">
        <v>59</v>
      </c>
      <c r="K144" t="s">
        <v>95</v>
      </c>
      <c r="L144" t="s">
        <v>36</v>
      </c>
      <c r="M144">
        <v>5</v>
      </c>
      <c r="N144">
        <v>15383</v>
      </c>
      <c r="O144" s="2">
        <v>10</v>
      </c>
      <c r="P144" s="2">
        <v>69223.5</v>
      </c>
      <c r="Q144" s="2">
        <v>56330.23</v>
      </c>
      <c r="R144" s="2">
        <v>12893.27</v>
      </c>
      <c r="S144" t="s">
        <v>37</v>
      </c>
      <c r="T144">
        <v>4</v>
      </c>
      <c r="U144" t="s">
        <v>51</v>
      </c>
      <c r="V144" t="s">
        <v>116</v>
      </c>
      <c r="W144" s="3">
        <f>Table1[[#This Row],[Profit]]/Table1[[#This Row],[Sales]]</f>
        <v>0.18625567906852442</v>
      </c>
      <c r="X144" t="str">
        <f>IF(Table1[[#This Row],[Sales]]&gt;=30000,"High Value",IF(Table1[[#This Row],[Sales]]&gt;=15000,"Medium Value","Low Value"))</f>
        <v>High Value</v>
      </c>
      <c r="Y144" t="str">
        <f>IF(Table1[[#This Row],[Quantity]]&gt;=3,"Bulk Order","Regular Order")</f>
        <v>Bulk Order</v>
      </c>
      <c r="Z144" t="str">
        <f>TEXT(Table1[[#This Row],[Order Date]],"dddd")</f>
        <v>Friday</v>
      </c>
    </row>
    <row r="145" spans="1:26" ht="14.4" x14ac:dyDescent="0.3">
      <c r="A145" t="s">
        <v>510</v>
      </c>
      <c r="B145" t="s">
        <v>511</v>
      </c>
      <c r="C145" s="2">
        <v>46147</v>
      </c>
      <c r="D145" t="s">
        <v>28</v>
      </c>
      <c r="E145" t="s">
        <v>43</v>
      </c>
      <c r="F145" t="s">
        <v>512</v>
      </c>
      <c r="G145" t="s">
        <v>389</v>
      </c>
      <c r="H145" t="s">
        <v>46</v>
      </c>
      <c r="I145" t="s">
        <v>33</v>
      </c>
      <c r="J145" t="s">
        <v>59</v>
      </c>
      <c r="K145" t="s">
        <v>60</v>
      </c>
      <c r="L145" t="s">
        <v>61</v>
      </c>
      <c r="M145">
        <v>2</v>
      </c>
      <c r="N145">
        <v>17055</v>
      </c>
      <c r="O145" s="2">
        <v>15</v>
      </c>
      <c r="P145" s="2">
        <v>28993.5</v>
      </c>
      <c r="Q145" s="2">
        <v>23110.639999999999</v>
      </c>
      <c r="R145" s="2">
        <v>5882.86</v>
      </c>
      <c r="S145" t="s">
        <v>37</v>
      </c>
      <c r="T145">
        <v>4</v>
      </c>
      <c r="U145" t="s">
        <v>51</v>
      </c>
      <c r="V145" t="s">
        <v>75</v>
      </c>
      <c r="W145" s="3">
        <f>Table1[[#This Row],[Profit]]/Table1[[#This Row],[Sales]]</f>
        <v>0.20290271957507716</v>
      </c>
      <c r="X145" t="str">
        <f>IF(Table1[[#This Row],[Sales]]&gt;=30000,"High Value",IF(Table1[[#This Row],[Sales]]&gt;=15000,"Medium Value","Low Value"))</f>
        <v>Medium Value</v>
      </c>
      <c r="Y145" t="str">
        <f>IF(Table1[[#This Row],[Quantity]]&gt;=3,"Bulk Order","Regular Order")</f>
        <v>Regular Order</v>
      </c>
      <c r="Z145" t="str">
        <f>TEXT(Table1[[#This Row],[Order Date]],"dddd")</f>
        <v>Tuesday</v>
      </c>
    </row>
    <row r="146" spans="1:26" ht="14.4" x14ac:dyDescent="0.3">
      <c r="A146" t="s">
        <v>513</v>
      </c>
      <c r="B146" t="s">
        <v>514</v>
      </c>
      <c r="C146" s="2">
        <v>46202</v>
      </c>
      <c r="D146" t="s">
        <v>42</v>
      </c>
      <c r="E146" t="s">
        <v>43</v>
      </c>
      <c r="F146" t="s">
        <v>515</v>
      </c>
      <c r="G146" t="s">
        <v>218</v>
      </c>
      <c r="H146" t="s">
        <v>46</v>
      </c>
      <c r="I146" t="s">
        <v>33</v>
      </c>
      <c r="J146" t="s">
        <v>59</v>
      </c>
      <c r="K146" t="s">
        <v>60</v>
      </c>
      <c r="L146" t="s">
        <v>61</v>
      </c>
      <c r="M146">
        <v>1</v>
      </c>
      <c r="N146">
        <v>17911</v>
      </c>
      <c r="O146" s="2">
        <v>10</v>
      </c>
      <c r="P146" s="2">
        <v>16119.9</v>
      </c>
      <c r="Q146" s="2">
        <v>12663.34</v>
      </c>
      <c r="R146" s="2">
        <v>3456.56</v>
      </c>
      <c r="S146" t="s">
        <v>37</v>
      </c>
      <c r="T146">
        <v>4</v>
      </c>
      <c r="U146" t="s">
        <v>51</v>
      </c>
      <c r="V146" t="s">
        <v>116</v>
      </c>
      <c r="W146" s="3">
        <f>Table1[[#This Row],[Profit]]/Table1[[#This Row],[Sales]]</f>
        <v>0.21442812920675686</v>
      </c>
      <c r="X146" t="str">
        <f>IF(Table1[[#This Row],[Sales]]&gt;=30000,"High Value",IF(Table1[[#This Row],[Sales]]&gt;=15000,"Medium Value","Low Value"))</f>
        <v>Medium Value</v>
      </c>
      <c r="Y146" t="str">
        <f>IF(Table1[[#This Row],[Quantity]]&gt;=3,"Bulk Order","Regular Order")</f>
        <v>Regular Order</v>
      </c>
      <c r="Z146" t="str">
        <f>TEXT(Table1[[#This Row],[Order Date]],"dddd")</f>
        <v>Monday</v>
      </c>
    </row>
    <row r="147" spans="1:26" ht="14.4" x14ac:dyDescent="0.3">
      <c r="A147" t="s">
        <v>516</v>
      </c>
      <c r="B147" t="s">
        <v>517</v>
      </c>
      <c r="C147" s="2">
        <v>46199</v>
      </c>
      <c r="D147" t="s">
        <v>42</v>
      </c>
      <c r="E147" t="s">
        <v>55</v>
      </c>
      <c r="F147" t="s">
        <v>174</v>
      </c>
      <c r="G147" t="s">
        <v>31</v>
      </c>
      <c r="H147" t="s">
        <v>32</v>
      </c>
      <c r="I147" t="s">
        <v>33</v>
      </c>
      <c r="J147" t="s">
        <v>59</v>
      </c>
      <c r="K147" t="s">
        <v>60</v>
      </c>
      <c r="L147" t="s">
        <v>61</v>
      </c>
      <c r="M147">
        <v>1</v>
      </c>
      <c r="N147">
        <v>17884</v>
      </c>
      <c r="O147" s="2">
        <v>5</v>
      </c>
      <c r="P147" s="2">
        <v>16989.8</v>
      </c>
      <c r="Q147" s="2">
        <v>13424.35</v>
      </c>
      <c r="R147" s="2">
        <v>3565.45</v>
      </c>
      <c r="S147" t="s">
        <v>37</v>
      </c>
      <c r="T147">
        <v>5</v>
      </c>
      <c r="U147" t="s">
        <v>51</v>
      </c>
      <c r="V147" t="s">
        <v>86</v>
      </c>
      <c r="W147" s="3">
        <f>Table1[[#This Row],[Profit]]/Table1[[#This Row],[Sales]]</f>
        <v>0.20985826790191761</v>
      </c>
      <c r="X147" t="str">
        <f>IF(Table1[[#This Row],[Sales]]&gt;=30000,"High Value",IF(Table1[[#This Row],[Sales]]&gt;=15000,"Medium Value","Low Value"))</f>
        <v>Medium Value</v>
      </c>
      <c r="Y147" t="str">
        <f>IF(Table1[[#This Row],[Quantity]]&gt;=3,"Bulk Order","Regular Order")</f>
        <v>Regular Order</v>
      </c>
      <c r="Z147" t="str">
        <f>TEXT(Table1[[#This Row],[Order Date]],"dddd")</f>
        <v>Friday</v>
      </c>
    </row>
    <row r="148" spans="1:26" ht="14.4" x14ac:dyDescent="0.3">
      <c r="A148" t="s">
        <v>518</v>
      </c>
      <c r="B148" t="s">
        <v>519</v>
      </c>
      <c r="C148" s="2">
        <v>46173</v>
      </c>
      <c r="D148" t="s">
        <v>28</v>
      </c>
      <c r="E148" t="s">
        <v>78</v>
      </c>
      <c r="F148" t="s">
        <v>185</v>
      </c>
      <c r="G148" t="s">
        <v>229</v>
      </c>
      <c r="H148" t="s">
        <v>32</v>
      </c>
      <c r="I148" t="s">
        <v>33</v>
      </c>
      <c r="J148" t="s">
        <v>59</v>
      </c>
      <c r="K148" t="s">
        <v>95</v>
      </c>
      <c r="L148" t="s">
        <v>36</v>
      </c>
      <c r="M148">
        <v>1</v>
      </c>
      <c r="N148">
        <v>16275</v>
      </c>
      <c r="O148" s="2">
        <v>15</v>
      </c>
      <c r="P148" s="2">
        <v>13833.75</v>
      </c>
      <c r="Q148" s="2">
        <v>11177.06</v>
      </c>
      <c r="R148" s="2">
        <v>2656.69</v>
      </c>
      <c r="S148" t="s">
        <v>37</v>
      </c>
      <c r="T148">
        <v>4</v>
      </c>
      <c r="U148" t="s">
        <v>51</v>
      </c>
      <c r="V148" t="s">
        <v>75</v>
      </c>
      <c r="W148" s="3">
        <f>Table1[[#This Row],[Profit]]/Table1[[#This Row],[Sales]]</f>
        <v>0.19204409505737779</v>
      </c>
      <c r="X148" t="str">
        <f>IF(Table1[[#This Row],[Sales]]&gt;=30000,"High Value",IF(Table1[[#This Row],[Sales]]&gt;=15000,"Medium Value","Low Value"))</f>
        <v>Low Value</v>
      </c>
      <c r="Y148" t="str">
        <f>IF(Table1[[#This Row],[Quantity]]&gt;=3,"Bulk Order","Regular Order")</f>
        <v>Regular Order</v>
      </c>
      <c r="Z148" t="str">
        <f>TEXT(Table1[[#This Row],[Order Date]],"dddd")</f>
        <v>Sunday</v>
      </c>
    </row>
    <row r="149" spans="1:26" ht="14.4" x14ac:dyDescent="0.3">
      <c r="A149" t="s">
        <v>520</v>
      </c>
      <c r="B149" t="s">
        <v>521</v>
      </c>
      <c r="C149" s="2">
        <v>46173</v>
      </c>
      <c r="D149" t="s">
        <v>28</v>
      </c>
      <c r="E149" t="s">
        <v>55</v>
      </c>
      <c r="F149" t="s">
        <v>522</v>
      </c>
      <c r="G149" t="s">
        <v>523</v>
      </c>
      <c r="H149" t="s">
        <v>46</v>
      </c>
      <c r="I149" t="s">
        <v>33</v>
      </c>
      <c r="J149" t="s">
        <v>59</v>
      </c>
      <c r="K149" t="s">
        <v>60</v>
      </c>
      <c r="L149" t="s">
        <v>61</v>
      </c>
      <c r="M149">
        <v>1</v>
      </c>
      <c r="N149">
        <v>17361</v>
      </c>
      <c r="O149" s="2">
        <v>5</v>
      </c>
      <c r="P149" s="2">
        <v>16492.95</v>
      </c>
      <c r="Q149" s="2">
        <v>13173.98</v>
      </c>
      <c r="R149" s="2">
        <v>3318.97</v>
      </c>
      <c r="S149" t="s">
        <v>50</v>
      </c>
      <c r="T149">
        <v>5</v>
      </c>
      <c r="U149" t="s">
        <v>51</v>
      </c>
      <c r="V149" t="s">
        <v>75</v>
      </c>
      <c r="W149" s="3">
        <f>Table1[[#This Row],[Profit]]/Table1[[#This Row],[Sales]]</f>
        <v>0.20123567948729607</v>
      </c>
      <c r="X149" t="str">
        <f>IF(Table1[[#This Row],[Sales]]&gt;=30000,"High Value",IF(Table1[[#This Row],[Sales]]&gt;=15000,"Medium Value","Low Value"))</f>
        <v>Medium Value</v>
      </c>
      <c r="Y149" t="str">
        <f>IF(Table1[[#This Row],[Quantity]]&gt;=3,"Bulk Order","Regular Order")</f>
        <v>Regular Order</v>
      </c>
      <c r="Z149" t="str">
        <f>TEXT(Table1[[#This Row],[Order Date]],"dddd")</f>
        <v>Sunday</v>
      </c>
    </row>
    <row r="150" spans="1:26" ht="14.4" x14ac:dyDescent="0.3">
      <c r="A150" t="s">
        <v>524</v>
      </c>
      <c r="B150" t="s">
        <v>525</v>
      </c>
      <c r="C150" s="2">
        <v>46184</v>
      </c>
      <c r="D150" t="s">
        <v>42</v>
      </c>
      <c r="E150" t="s">
        <v>66</v>
      </c>
      <c r="F150" t="s">
        <v>154</v>
      </c>
      <c r="G150" t="s">
        <v>225</v>
      </c>
      <c r="H150" t="s">
        <v>32</v>
      </c>
      <c r="I150" t="s">
        <v>33</v>
      </c>
      <c r="J150" t="s">
        <v>59</v>
      </c>
      <c r="K150" t="s">
        <v>95</v>
      </c>
      <c r="L150" t="s">
        <v>36</v>
      </c>
      <c r="M150">
        <v>2</v>
      </c>
      <c r="N150">
        <v>15923</v>
      </c>
      <c r="O150" s="2">
        <v>15</v>
      </c>
      <c r="P150" s="2">
        <v>27069.1</v>
      </c>
      <c r="Q150" s="2">
        <v>21653.87</v>
      </c>
      <c r="R150" s="2">
        <v>5415.23</v>
      </c>
      <c r="S150" t="s">
        <v>50</v>
      </c>
      <c r="T150">
        <v>3</v>
      </c>
      <c r="U150" t="s">
        <v>51</v>
      </c>
      <c r="V150" t="s">
        <v>116</v>
      </c>
      <c r="W150" s="3">
        <f>Table1[[#This Row],[Profit]]/Table1[[#This Row],[Sales]]</f>
        <v>0.20005208891318885</v>
      </c>
      <c r="X150" t="str">
        <f>IF(Table1[[#This Row],[Sales]]&gt;=30000,"High Value",IF(Table1[[#This Row],[Sales]]&gt;=15000,"Medium Value","Low Value"))</f>
        <v>Medium Value</v>
      </c>
      <c r="Y150" t="str">
        <f>IF(Table1[[#This Row],[Quantity]]&gt;=3,"Bulk Order","Regular Order")</f>
        <v>Regular Order</v>
      </c>
      <c r="Z150" t="str">
        <f>TEXT(Table1[[#This Row],[Order Date]],"dddd")</f>
        <v>Thursday</v>
      </c>
    </row>
    <row r="151" spans="1:26" ht="14.4" x14ac:dyDescent="0.3">
      <c r="A151" t="s">
        <v>526</v>
      </c>
      <c r="B151" t="s">
        <v>527</v>
      </c>
      <c r="C151" s="2">
        <v>46152</v>
      </c>
      <c r="D151" t="s">
        <v>28</v>
      </c>
      <c r="E151" t="s">
        <v>55</v>
      </c>
      <c r="F151" t="s">
        <v>465</v>
      </c>
      <c r="G151" t="s">
        <v>283</v>
      </c>
      <c r="H151" t="s">
        <v>32</v>
      </c>
      <c r="I151" t="s">
        <v>33</v>
      </c>
      <c r="J151" t="s">
        <v>47</v>
      </c>
      <c r="K151" t="s">
        <v>69</v>
      </c>
      <c r="L151" t="s">
        <v>70</v>
      </c>
      <c r="M151">
        <v>2</v>
      </c>
      <c r="N151">
        <v>8472</v>
      </c>
      <c r="O151" s="2">
        <v>0</v>
      </c>
      <c r="P151" s="2">
        <v>16944</v>
      </c>
      <c r="Q151" s="2">
        <v>13708.61</v>
      </c>
      <c r="R151" s="2">
        <v>3235.39</v>
      </c>
      <c r="S151" t="s">
        <v>37</v>
      </c>
      <c r="T151">
        <v>4</v>
      </c>
      <c r="U151" t="s">
        <v>51</v>
      </c>
      <c r="V151" t="s">
        <v>116</v>
      </c>
      <c r="W151" s="3">
        <f>Table1[[#This Row],[Profit]]/Table1[[#This Row],[Sales]]</f>
        <v>0.19094605760151084</v>
      </c>
      <c r="X151" t="str">
        <f>IF(Table1[[#This Row],[Sales]]&gt;=30000,"High Value",IF(Table1[[#This Row],[Sales]]&gt;=15000,"Medium Value","Low Value"))</f>
        <v>Medium Value</v>
      </c>
      <c r="Y151" t="str">
        <f>IF(Table1[[#This Row],[Quantity]]&gt;=3,"Bulk Order","Regular Order")</f>
        <v>Regular Order</v>
      </c>
      <c r="Z151" t="str">
        <f>TEXT(Table1[[#This Row],[Order Date]],"dddd")</f>
        <v>Sunday</v>
      </c>
    </row>
    <row r="152" spans="1:26" ht="14.4" x14ac:dyDescent="0.3">
      <c r="A152" t="s">
        <v>528</v>
      </c>
      <c r="B152" t="s">
        <v>529</v>
      </c>
      <c r="C152" s="2">
        <v>46184</v>
      </c>
      <c r="D152" t="s">
        <v>42</v>
      </c>
      <c r="E152" t="s">
        <v>29</v>
      </c>
      <c r="F152" t="s">
        <v>197</v>
      </c>
      <c r="G152" t="s">
        <v>141</v>
      </c>
      <c r="H152" t="s">
        <v>46</v>
      </c>
      <c r="I152" t="s">
        <v>33</v>
      </c>
      <c r="J152" t="s">
        <v>47</v>
      </c>
      <c r="K152" t="s">
        <v>69</v>
      </c>
      <c r="L152" t="s">
        <v>70</v>
      </c>
      <c r="M152">
        <v>1</v>
      </c>
      <c r="N152">
        <v>8722</v>
      </c>
      <c r="O152" s="2">
        <v>5</v>
      </c>
      <c r="P152" s="2">
        <v>8285.9</v>
      </c>
      <c r="Q152" s="2">
        <v>6738.99</v>
      </c>
      <c r="R152" s="2">
        <v>1546.91</v>
      </c>
      <c r="S152" t="s">
        <v>37</v>
      </c>
      <c r="T152">
        <v>4</v>
      </c>
      <c r="U152" t="s">
        <v>51</v>
      </c>
      <c r="V152" t="s">
        <v>52</v>
      </c>
      <c r="W152" s="3">
        <f>Table1[[#This Row],[Profit]]/Table1[[#This Row],[Sales]]</f>
        <v>0.1866918500102584</v>
      </c>
      <c r="X152" t="str">
        <f>IF(Table1[[#This Row],[Sales]]&gt;=30000,"High Value",IF(Table1[[#This Row],[Sales]]&gt;=15000,"Medium Value","Low Value"))</f>
        <v>Low Value</v>
      </c>
      <c r="Y152" t="str">
        <f>IF(Table1[[#This Row],[Quantity]]&gt;=3,"Bulk Order","Regular Order")</f>
        <v>Regular Order</v>
      </c>
      <c r="Z152" t="str">
        <f>TEXT(Table1[[#This Row],[Order Date]],"dddd")</f>
        <v>Thursday</v>
      </c>
    </row>
    <row r="153" spans="1:26" ht="14.4" x14ac:dyDescent="0.3">
      <c r="A153" t="s">
        <v>530</v>
      </c>
      <c r="B153" t="s">
        <v>531</v>
      </c>
      <c r="C153" s="2">
        <v>46160</v>
      </c>
      <c r="D153" t="s">
        <v>28</v>
      </c>
      <c r="E153" t="s">
        <v>66</v>
      </c>
      <c r="F153" t="s">
        <v>532</v>
      </c>
      <c r="G153" t="s">
        <v>45</v>
      </c>
      <c r="H153" t="s">
        <v>46</v>
      </c>
      <c r="I153" t="s">
        <v>58</v>
      </c>
      <c r="J153" t="s">
        <v>47</v>
      </c>
      <c r="K153" t="s">
        <v>48</v>
      </c>
      <c r="L153" t="s">
        <v>49</v>
      </c>
      <c r="M153">
        <v>4</v>
      </c>
      <c r="N153">
        <v>8364</v>
      </c>
      <c r="O153" s="2">
        <v>5</v>
      </c>
      <c r="P153" s="2">
        <v>31783.200000000001</v>
      </c>
      <c r="Q153" s="2">
        <v>25788.29</v>
      </c>
      <c r="R153" s="2">
        <v>5994.91</v>
      </c>
      <c r="S153" t="s">
        <v>50</v>
      </c>
      <c r="T153">
        <v>5</v>
      </c>
      <c r="U153" t="s">
        <v>51</v>
      </c>
      <c r="V153" t="s">
        <v>52</v>
      </c>
      <c r="W153" s="3">
        <f>Table1[[#This Row],[Profit]]/Table1[[#This Row],[Sales]]</f>
        <v>0.18861883007374963</v>
      </c>
      <c r="X153" t="str">
        <f>IF(Table1[[#This Row],[Sales]]&gt;=30000,"High Value",IF(Table1[[#This Row],[Sales]]&gt;=15000,"Medium Value","Low Value"))</f>
        <v>High Value</v>
      </c>
      <c r="Y153" t="str">
        <f>IF(Table1[[#This Row],[Quantity]]&gt;=3,"Bulk Order","Regular Order")</f>
        <v>Bulk Order</v>
      </c>
      <c r="Z153" t="str">
        <f>TEXT(Table1[[#This Row],[Order Date]],"dddd")</f>
        <v>Monday</v>
      </c>
    </row>
    <row r="154" spans="1:26" ht="14.4" x14ac:dyDescent="0.3">
      <c r="A154" t="s">
        <v>533</v>
      </c>
      <c r="B154" t="s">
        <v>534</v>
      </c>
      <c r="C154" s="2">
        <v>46185</v>
      </c>
      <c r="D154" t="s">
        <v>42</v>
      </c>
      <c r="E154" t="s">
        <v>66</v>
      </c>
      <c r="F154" t="s">
        <v>435</v>
      </c>
      <c r="G154" t="s">
        <v>161</v>
      </c>
      <c r="H154" t="s">
        <v>32</v>
      </c>
      <c r="I154" t="s">
        <v>33</v>
      </c>
      <c r="J154" t="s">
        <v>59</v>
      </c>
      <c r="K154" t="s">
        <v>60</v>
      </c>
      <c r="L154" t="s">
        <v>61</v>
      </c>
      <c r="M154">
        <v>1</v>
      </c>
      <c r="N154">
        <v>16296</v>
      </c>
      <c r="O154" s="2">
        <v>5</v>
      </c>
      <c r="P154" s="2">
        <v>15481.2</v>
      </c>
      <c r="Q154" s="2">
        <v>12457.39</v>
      </c>
      <c r="R154" s="2">
        <v>3023.81</v>
      </c>
      <c r="S154" t="s">
        <v>50</v>
      </c>
      <c r="T154">
        <v>5</v>
      </c>
      <c r="U154" t="s">
        <v>51</v>
      </c>
      <c r="V154" t="s">
        <v>116</v>
      </c>
      <c r="W154" s="3">
        <f>Table1[[#This Row],[Profit]]/Table1[[#This Row],[Sales]]</f>
        <v>0.19532142211198097</v>
      </c>
      <c r="X154" t="str">
        <f>IF(Table1[[#This Row],[Sales]]&gt;=30000,"High Value",IF(Table1[[#This Row],[Sales]]&gt;=15000,"Medium Value","Low Value"))</f>
        <v>Medium Value</v>
      </c>
      <c r="Y154" t="str">
        <f>IF(Table1[[#This Row],[Quantity]]&gt;=3,"Bulk Order","Regular Order")</f>
        <v>Regular Order</v>
      </c>
      <c r="Z154" t="str">
        <f>TEXT(Table1[[#This Row],[Order Date]],"dddd")</f>
        <v>Friday</v>
      </c>
    </row>
    <row r="155" spans="1:26" ht="14.4" x14ac:dyDescent="0.3">
      <c r="A155" t="s">
        <v>535</v>
      </c>
      <c r="B155" t="s">
        <v>536</v>
      </c>
      <c r="C155" s="2">
        <v>46166</v>
      </c>
      <c r="D155" t="s">
        <v>28</v>
      </c>
      <c r="E155" t="s">
        <v>133</v>
      </c>
      <c r="F155" t="s">
        <v>537</v>
      </c>
      <c r="G155" t="s">
        <v>204</v>
      </c>
      <c r="H155" t="s">
        <v>46</v>
      </c>
      <c r="I155" t="s">
        <v>33</v>
      </c>
      <c r="J155" t="s">
        <v>34</v>
      </c>
      <c r="K155" t="s">
        <v>35</v>
      </c>
      <c r="L155" t="s">
        <v>36</v>
      </c>
      <c r="M155">
        <v>2</v>
      </c>
      <c r="N155">
        <v>13544</v>
      </c>
      <c r="O155" s="2">
        <v>5</v>
      </c>
      <c r="P155" s="2">
        <v>25733.599999999999</v>
      </c>
      <c r="Q155" s="2">
        <v>20493.900000000001</v>
      </c>
      <c r="R155" s="2">
        <v>5239.7</v>
      </c>
      <c r="S155" t="s">
        <v>50</v>
      </c>
      <c r="T155">
        <v>4</v>
      </c>
      <c r="U155" t="s">
        <v>38</v>
      </c>
      <c r="V155" t="s">
        <v>39</v>
      </c>
      <c r="W155" s="3">
        <f>Table1[[#This Row],[Profit]]/Table1[[#This Row],[Sales]]</f>
        <v>0.20361317499300527</v>
      </c>
      <c r="X155" t="str">
        <f>IF(Table1[[#This Row],[Sales]]&gt;=30000,"High Value",IF(Table1[[#This Row],[Sales]]&gt;=15000,"Medium Value","Low Value"))</f>
        <v>Medium Value</v>
      </c>
      <c r="Y155" t="str">
        <f>IF(Table1[[#This Row],[Quantity]]&gt;=3,"Bulk Order","Regular Order")</f>
        <v>Regular Order</v>
      </c>
      <c r="Z155" t="str">
        <f>TEXT(Table1[[#This Row],[Order Date]],"dddd")</f>
        <v>Sunday</v>
      </c>
    </row>
    <row r="156" spans="1:26" ht="14.4" x14ac:dyDescent="0.3">
      <c r="A156" t="s">
        <v>538</v>
      </c>
      <c r="B156" t="s">
        <v>539</v>
      </c>
      <c r="C156" s="2">
        <v>46161</v>
      </c>
      <c r="D156" t="s">
        <v>28</v>
      </c>
      <c r="E156" t="s">
        <v>55</v>
      </c>
      <c r="F156" t="s">
        <v>429</v>
      </c>
      <c r="G156" t="s">
        <v>292</v>
      </c>
      <c r="H156" t="s">
        <v>46</v>
      </c>
      <c r="I156" t="s">
        <v>58</v>
      </c>
      <c r="J156" t="s">
        <v>169</v>
      </c>
      <c r="K156" t="s">
        <v>170</v>
      </c>
      <c r="L156" t="s">
        <v>171</v>
      </c>
      <c r="M156">
        <v>5</v>
      </c>
      <c r="N156">
        <v>9969</v>
      </c>
      <c r="O156" s="2">
        <v>15</v>
      </c>
      <c r="P156" s="2">
        <v>42368.25</v>
      </c>
      <c r="Q156" s="2">
        <v>33900.65</v>
      </c>
      <c r="R156" s="2">
        <v>8467.6</v>
      </c>
      <c r="S156" t="s">
        <v>37</v>
      </c>
      <c r="T156">
        <v>5</v>
      </c>
      <c r="U156" t="s">
        <v>51</v>
      </c>
      <c r="V156" t="s">
        <v>86</v>
      </c>
      <c r="W156" s="3">
        <f>Table1[[#This Row],[Profit]]/Table1[[#This Row],[Sales]]</f>
        <v>0.19985720439244009</v>
      </c>
      <c r="X156" t="str">
        <f>IF(Table1[[#This Row],[Sales]]&gt;=30000,"High Value",IF(Table1[[#This Row],[Sales]]&gt;=15000,"Medium Value","Low Value"))</f>
        <v>High Value</v>
      </c>
      <c r="Y156" t="str">
        <f>IF(Table1[[#This Row],[Quantity]]&gt;=3,"Bulk Order","Regular Order")</f>
        <v>Bulk Order</v>
      </c>
      <c r="Z156" t="str">
        <f>TEXT(Table1[[#This Row],[Order Date]],"dddd")</f>
        <v>Tuesday</v>
      </c>
    </row>
    <row r="157" spans="1:26" ht="14.4" x14ac:dyDescent="0.3">
      <c r="A157" t="s">
        <v>540</v>
      </c>
      <c r="B157" t="s">
        <v>541</v>
      </c>
      <c r="C157" s="2">
        <v>46193</v>
      </c>
      <c r="D157" t="s">
        <v>42</v>
      </c>
      <c r="E157" t="s">
        <v>29</v>
      </c>
      <c r="F157" t="s">
        <v>542</v>
      </c>
      <c r="G157" t="s">
        <v>412</v>
      </c>
      <c r="H157" t="s">
        <v>46</v>
      </c>
      <c r="I157" t="s">
        <v>33</v>
      </c>
      <c r="J157" t="s">
        <v>59</v>
      </c>
      <c r="K157" t="s">
        <v>60</v>
      </c>
      <c r="L157" t="s">
        <v>61</v>
      </c>
      <c r="M157">
        <v>1</v>
      </c>
      <c r="N157">
        <v>16054</v>
      </c>
      <c r="O157" s="2">
        <v>0</v>
      </c>
      <c r="P157" s="2">
        <v>16054</v>
      </c>
      <c r="Q157" s="2">
        <v>12660.34</v>
      </c>
      <c r="R157" s="2">
        <v>3393.66</v>
      </c>
      <c r="S157" t="s">
        <v>37</v>
      </c>
      <c r="T157">
        <v>5</v>
      </c>
      <c r="U157" t="s">
        <v>51</v>
      </c>
      <c r="V157" t="s">
        <v>86</v>
      </c>
      <c r="W157" s="3">
        <f>Table1[[#This Row],[Profit]]/Table1[[#This Row],[Sales]]</f>
        <v>0.21139030771147377</v>
      </c>
      <c r="X157" t="str">
        <f>IF(Table1[[#This Row],[Sales]]&gt;=30000,"High Value",IF(Table1[[#This Row],[Sales]]&gt;=15000,"Medium Value","Low Value"))</f>
        <v>Medium Value</v>
      </c>
      <c r="Y157" t="str">
        <f>IF(Table1[[#This Row],[Quantity]]&gt;=3,"Bulk Order","Regular Order")</f>
        <v>Regular Order</v>
      </c>
      <c r="Z157" t="str">
        <f>TEXT(Table1[[#This Row],[Order Date]],"dddd")</f>
        <v>Saturday</v>
      </c>
    </row>
    <row r="158" spans="1:26" ht="14.4" x14ac:dyDescent="0.3">
      <c r="A158" t="s">
        <v>543</v>
      </c>
      <c r="B158" t="s">
        <v>544</v>
      </c>
      <c r="C158" s="2">
        <v>46166</v>
      </c>
      <c r="D158" t="s">
        <v>28</v>
      </c>
      <c r="E158" t="s">
        <v>55</v>
      </c>
      <c r="F158" t="s">
        <v>496</v>
      </c>
      <c r="G158" t="s">
        <v>523</v>
      </c>
      <c r="H158" t="s">
        <v>46</v>
      </c>
      <c r="I158" t="s">
        <v>33</v>
      </c>
      <c r="J158" t="s">
        <v>59</v>
      </c>
      <c r="K158" t="s">
        <v>60</v>
      </c>
      <c r="L158" t="s">
        <v>61</v>
      </c>
      <c r="M158">
        <v>1</v>
      </c>
      <c r="N158">
        <v>15586</v>
      </c>
      <c r="O158" s="2">
        <v>5</v>
      </c>
      <c r="P158" s="2">
        <v>14806.7</v>
      </c>
      <c r="Q158" s="2">
        <v>11580.27</v>
      </c>
      <c r="R158" s="2">
        <v>3226.43</v>
      </c>
      <c r="S158" t="s">
        <v>37</v>
      </c>
      <c r="T158">
        <v>5</v>
      </c>
      <c r="U158" t="s">
        <v>51</v>
      </c>
      <c r="V158" t="s">
        <v>86</v>
      </c>
      <c r="W158" s="3">
        <f>Table1[[#This Row],[Profit]]/Table1[[#This Row],[Sales]]</f>
        <v>0.21790338157725891</v>
      </c>
      <c r="X158" t="str">
        <f>IF(Table1[[#This Row],[Sales]]&gt;=30000,"High Value",IF(Table1[[#This Row],[Sales]]&gt;=15000,"Medium Value","Low Value"))</f>
        <v>Low Value</v>
      </c>
      <c r="Y158" t="str">
        <f>IF(Table1[[#This Row],[Quantity]]&gt;=3,"Bulk Order","Regular Order")</f>
        <v>Regular Order</v>
      </c>
      <c r="Z158" t="str">
        <f>TEXT(Table1[[#This Row],[Order Date]],"dddd")</f>
        <v>Sunday</v>
      </c>
    </row>
    <row r="159" spans="1:26" ht="14.4" x14ac:dyDescent="0.3">
      <c r="A159" t="s">
        <v>545</v>
      </c>
      <c r="B159" t="s">
        <v>546</v>
      </c>
      <c r="C159" s="2">
        <v>46183</v>
      </c>
      <c r="D159" t="s">
        <v>42</v>
      </c>
      <c r="E159" t="s">
        <v>102</v>
      </c>
      <c r="F159" t="s">
        <v>547</v>
      </c>
      <c r="G159" t="s">
        <v>523</v>
      </c>
      <c r="H159" t="s">
        <v>46</v>
      </c>
      <c r="I159" t="s">
        <v>33</v>
      </c>
      <c r="J159" t="s">
        <v>59</v>
      </c>
      <c r="K159" t="s">
        <v>60</v>
      </c>
      <c r="L159" t="s">
        <v>61</v>
      </c>
      <c r="M159">
        <v>2</v>
      </c>
      <c r="N159">
        <v>17426</v>
      </c>
      <c r="O159" s="2">
        <v>5</v>
      </c>
      <c r="P159" s="2">
        <v>33109.4</v>
      </c>
      <c r="Q159" s="2">
        <v>25828.59</v>
      </c>
      <c r="R159" s="2">
        <v>7280.81</v>
      </c>
      <c r="S159" t="s">
        <v>37</v>
      </c>
      <c r="T159">
        <v>5</v>
      </c>
      <c r="U159" t="s">
        <v>51</v>
      </c>
      <c r="V159" t="s">
        <v>75</v>
      </c>
      <c r="W159" s="3">
        <f>Table1[[#This Row],[Profit]]/Table1[[#This Row],[Sales]]</f>
        <v>0.21990159894169028</v>
      </c>
      <c r="X159" t="str">
        <f>IF(Table1[[#This Row],[Sales]]&gt;=30000,"High Value",IF(Table1[[#This Row],[Sales]]&gt;=15000,"Medium Value","Low Value"))</f>
        <v>High Value</v>
      </c>
      <c r="Y159" t="str">
        <f>IF(Table1[[#This Row],[Quantity]]&gt;=3,"Bulk Order","Regular Order")</f>
        <v>Regular Order</v>
      </c>
      <c r="Z159" t="str">
        <f>TEXT(Table1[[#This Row],[Order Date]],"dddd")</f>
        <v>Wednesday</v>
      </c>
    </row>
    <row r="160" spans="1:26" ht="14.4" x14ac:dyDescent="0.3">
      <c r="A160" t="s">
        <v>548</v>
      </c>
      <c r="B160" t="s">
        <v>549</v>
      </c>
      <c r="C160" s="2">
        <v>46202</v>
      </c>
      <c r="D160" t="s">
        <v>42</v>
      </c>
      <c r="E160" t="s">
        <v>78</v>
      </c>
      <c r="F160" t="s">
        <v>512</v>
      </c>
      <c r="G160" t="s">
        <v>182</v>
      </c>
      <c r="H160" t="s">
        <v>46</v>
      </c>
      <c r="I160" t="s">
        <v>58</v>
      </c>
      <c r="J160" t="s">
        <v>47</v>
      </c>
      <c r="K160" t="s">
        <v>69</v>
      </c>
      <c r="L160" t="s">
        <v>70</v>
      </c>
      <c r="M160">
        <v>3</v>
      </c>
      <c r="N160">
        <v>8990</v>
      </c>
      <c r="O160" s="2">
        <v>5</v>
      </c>
      <c r="P160" s="2">
        <v>25621.5</v>
      </c>
      <c r="Q160" s="2">
        <v>20608.849999999999</v>
      </c>
      <c r="R160" s="2">
        <v>5012.6499999999996</v>
      </c>
      <c r="S160" t="s">
        <v>50</v>
      </c>
      <c r="T160">
        <v>5</v>
      </c>
      <c r="U160" t="s">
        <v>51</v>
      </c>
      <c r="V160" t="s">
        <v>86</v>
      </c>
      <c r="W160" s="3">
        <f>Table1[[#This Row],[Profit]]/Table1[[#This Row],[Sales]]</f>
        <v>0.19564233163554046</v>
      </c>
      <c r="X160" t="str">
        <f>IF(Table1[[#This Row],[Sales]]&gt;=30000,"High Value",IF(Table1[[#This Row],[Sales]]&gt;=15000,"Medium Value","Low Value"))</f>
        <v>Medium Value</v>
      </c>
      <c r="Y160" t="str">
        <f>IF(Table1[[#This Row],[Quantity]]&gt;=3,"Bulk Order","Regular Order")</f>
        <v>Bulk Order</v>
      </c>
      <c r="Z160" t="str">
        <f>TEXT(Table1[[#This Row],[Order Date]],"dddd")</f>
        <v>Monday</v>
      </c>
    </row>
    <row r="161" spans="1:26" ht="14.4" x14ac:dyDescent="0.3">
      <c r="A161" t="s">
        <v>550</v>
      </c>
      <c r="B161" t="s">
        <v>551</v>
      </c>
      <c r="C161" s="2">
        <v>46164</v>
      </c>
      <c r="D161" t="s">
        <v>28</v>
      </c>
      <c r="E161" t="s">
        <v>78</v>
      </c>
      <c r="F161" t="s">
        <v>542</v>
      </c>
      <c r="G161" t="s">
        <v>292</v>
      </c>
      <c r="H161" t="s">
        <v>46</v>
      </c>
      <c r="I161" t="s">
        <v>58</v>
      </c>
      <c r="J161" t="s">
        <v>169</v>
      </c>
      <c r="K161" t="s">
        <v>170</v>
      </c>
      <c r="L161" t="s">
        <v>171</v>
      </c>
      <c r="M161">
        <v>5</v>
      </c>
      <c r="N161">
        <v>9543</v>
      </c>
      <c r="O161" s="2">
        <v>5</v>
      </c>
      <c r="P161" s="2">
        <v>45329.25</v>
      </c>
      <c r="Q161" s="2">
        <v>36690.03</v>
      </c>
      <c r="R161" s="2">
        <v>8639.2199999999993</v>
      </c>
      <c r="S161" t="s">
        <v>50</v>
      </c>
      <c r="T161">
        <v>3</v>
      </c>
      <c r="U161" t="s">
        <v>51</v>
      </c>
      <c r="V161" t="s">
        <v>116</v>
      </c>
      <c r="W161" s="3">
        <f>Table1[[#This Row],[Profit]]/Table1[[#This Row],[Sales]]</f>
        <v>0.19058819636327534</v>
      </c>
      <c r="X161" t="str">
        <f>IF(Table1[[#This Row],[Sales]]&gt;=30000,"High Value",IF(Table1[[#This Row],[Sales]]&gt;=15000,"Medium Value","Low Value"))</f>
        <v>High Value</v>
      </c>
      <c r="Y161" t="str">
        <f>IF(Table1[[#This Row],[Quantity]]&gt;=3,"Bulk Order","Regular Order")</f>
        <v>Bulk Order</v>
      </c>
      <c r="Z161" t="str">
        <f>TEXT(Table1[[#This Row],[Order Date]],"dddd")</f>
        <v>Friday</v>
      </c>
    </row>
    <row r="162" spans="1:26" ht="14.4" x14ac:dyDescent="0.3">
      <c r="A162" t="s">
        <v>552</v>
      </c>
      <c r="B162" t="s">
        <v>553</v>
      </c>
      <c r="C162" s="2">
        <v>46196</v>
      </c>
      <c r="D162" t="s">
        <v>42</v>
      </c>
      <c r="E162" t="s">
        <v>66</v>
      </c>
      <c r="F162" t="s">
        <v>160</v>
      </c>
      <c r="G162" t="s">
        <v>239</v>
      </c>
      <c r="H162" t="s">
        <v>46</v>
      </c>
      <c r="I162" t="s">
        <v>33</v>
      </c>
      <c r="J162" t="s">
        <v>59</v>
      </c>
      <c r="K162" t="s">
        <v>60</v>
      </c>
      <c r="L162" t="s">
        <v>61</v>
      </c>
      <c r="M162">
        <v>1</v>
      </c>
      <c r="N162">
        <v>16000</v>
      </c>
      <c r="O162" s="2">
        <v>0</v>
      </c>
      <c r="P162" s="2">
        <v>16000</v>
      </c>
      <c r="Q162" s="2">
        <v>12654.1</v>
      </c>
      <c r="R162" s="2">
        <v>3345.9</v>
      </c>
      <c r="S162" t="s">
        <v>81</v>
      </c>
      <c r="T162">
        <v>5</v>
      </c>
      <c r="U162" t="s">
        <v>51</v>
      </c>
      <c r="V162" t="s">
        <v>63</v>
      </c>
      <c r="W162" s="3">
        <f>Table1[[#This Row],[Profit]]/Table1[[#This Row],[Sales]]</f>
        <v>0.20911874999999999</v>
      </c>
      <c r="X162" t="str">
        <f>IF(Table1[[#This Row],[Sales]]&gt;=30000,"High Value",IF(Table1[[#This Row],[Sales]]&gt;=15000,"Medium Value","Low Value"))</f>
        <v>Medium Value</v>
      </c>
      <c r="Y162" t="str">
        <f>IF(Table1[[#This Row],[Quantity]]&gt;=3,"Bulk Order","Regular Order")</f>
        <v>Regular Order</v>
      </c>
      <c r="Z162" t="str">
        <f>TEXT(Table1[[#This Row],[Order Date]],"dddd")</f>
        <v>Tuesday</v>
      </c>
    </row>
    <row r="163" spans="1:26" ht="14.4" x14ac:dyDescent="0.3">
      <c r="A163" t="s">
        <v>554</v>
      </c>
      <c r="B163" t="s">
        <v>555</v>
      </c>
      <c r="C163" s="2">
        <v>46172</v>
      </c>
      <c r="D163" t="s">
        <v>28</v>
      </c>
      <c r="E163" t="s">
        <v>55</v>
      </c>
      <c r="F163" t="s">
        <v>252</v>
      </c>
      <c r="G163" t="s">
        <v>138</v>
      </c>
      <c r="H163" t="s">
        <v>32</v>
      </c>
      <c r="I163" t="s">
        <v>33</v>
      </c>
      <c r="J163" t="s">
        <v>59</v>
      </c>
      <c r="K163" t="s">
        <v>60</v>
      </c>
      <c r="L163" t="s">
        <v>61</v>
      </c>
      <c r="M163">
        <v>2</v>
      </c>
      <c r="N163">
        <v>17159</v>
      </c>
      <c r="O163" s="2">
        <v>5</v>
      </c>
      <c r="P163" s="2">
        <v>32602.1</v>
      </c>
      <c r="Q163" s="2">
        <v>26069.599999999999</v>
      </c>
      <c r="R163" s="2">
        <v>6532.5</v>
      </c>
      <c r="S163" t="s">
        <v>81</v>
      </c>
      <c r="T163">
        <v>4</v>
      </c>
      <c r="U163" t="s">
        <v>51</v>
      </c>
      <c r="V163" t="s">
        <v>116</v>
      </c>
      <c r="W163" s="3">
        <f>Table1[[#This Row],[Profit]]/Table1[[#This Row],[Sales]]</f>
        <v>0.20037052827885321</v>
      </c>
      <c r="X163" t="str">
        <f>IF(Table1[[#This Row],[Sales]]&gt;=30000,"High Value",IF(Table1[[#This Row],[Sales]]&gt;=15000,"Medium Value","Low Value"))</f>
        <v>High Value</v>
      </c>
      <c r="Y163" t="str">
        <f>IF(Table1[[#This Row],[Quantity]]&gt;=3,"Bulk Order","Regular Order")</f>
        <v>Regular Order</v>
      </c>
      <c r="Z163" t="str">
        <f>TEXT(Table1[[#This Row],[Order Date]],"dddd")</f>
        <v>Saturday</v>
      </c>
    </row>
    <row r="164" spans="1:26" ht="14.4" x14ac:dyDescent="0.3">
      <c r="A164" t="s">
        <v>556</v>
      </c>
      <c r="B164" t="s">
        <v>557</v>
      </c>
      <c r="C164" s="2">
        <v>46191</v>
      </c>
      <c r="D164" t="s">
        <v>42</v>
      </c>
      <c r="E164" t="s">
        <v>102</v>
      </c>
      <c r="F164" t="s">
        <v>291</v>
      </c>
      <c r="G164" t="s">
        <v>168</v>
      </c>
      <c r="H164" t="s">
        <v>32</v>
      </c>
      <c r="I164" t="s">
        <v>33</v>
      </c>
      <c r="J164" t="s">
        <v>59</v>
      </c>
      <c r="K164" t="s">
        <v>95</v>
      </c>
      <c r="L164" t="s">
        <v>36</v>
      </c>
      <c r="M164">
        <v>1</v>
      </c>
      <c r="N164">
        <v>14897</v>
      </c>
      <c r="O164" s="2">
        <v>5</v>
      </c>
      <c r="P164" s="2">
        <v>14152.15</v>
      </c>
      <c r="Q164" s="2">
        <v>11500.34</v>
      </c>
      <c r="R164" s="2">
        <v>2651.81</v>
      </c>
      <c r="S164" t="s">
        <v>37</v>
      </c>
      <c r="T164">
        <v>4</v>
      </c>
      <c r="U164" t="s">
        <v>51</v>
      </c>
      <c r="V164" t="s">
        <v>116</v>
      </c>
      <c r="W164" s="3">
        <f>Table1[[#This Row],[Profit]]/Table1[[#This Row],[Sales]]</f>
        <v>0.18737859618503197</v>
      </c>
      <c r="X164" t="str">
        <f>IF(Table1[[#This Row],[Sales]]&gt;=30000,"High Value",IF(Table1[[#This Row],[Sales]]&gt;=15000,"Medium Value","Low Value"))</f>
        <v>Low Value</v>
      </c>
      <c r="Y164" t="str">
        <f>IF(Table1[[#This Row],[Quantity]]&gt;=3,"Bulk Order","Regular Order")</f>
        <v>Regular Order</v>
      </c>
      <c r="Z164" t="str">
        <f>TEXT(Table1[[#This Row],[Order Date]],"dddd")</f>
        <v>Thursday</v>
      </c>
    </row>
    <row r="165" spans="1:26" ht="14.4" x14ac:dyDescent="0.3">
      <c r="A165" t="s">
        <v>558</v>
      </c>
      <c r="B165" t="s">
        <v>559</v>
      </c>
      <c r="C165" s="2">
        <v>46166</v>
      </c>
      <c r="D165" t="s">
        <v>28</v>
      </c>
      <c r="E165" t="s">
        <v>55</v>
      </c>
      <c r="F165" t="s">
        <v>214</v>
      </c>
      <c r="G165" t="s">
        <v>134</v>
      </c>
      <c r="H165" t="s">
        <v>46</v>
      </c>
      <c r="I165" t="s">
        <v>33</v>
      </c>
      <c r="J165" t="s">
        <v>47</v>
      </c>
      <c r="K165" t="s">
        <v>48</v>
      </c>
      <c r="L165" t="s">
        <v>49</v>
      </c>
      <c r="M165">
        <v>1</v>
      </c>
      <c r="N165">
        <v>7027</v>
      </c>
      <c r="O165" s="2">
        <v>5</v>
      </c>
      <c r="P165" s="2">
        <v>6675.65</v>
      </c>
      <c r="Q165" s="2">
        <v>5422.73</v>
      </c>
      <c r="R165" s="2">
        <v>1252.92</v>
      </c>
      <c r="S165" t="s">
        <v>50</v>
      </c>
      <c r="T165">
        <v>5</v>
      </c>
      <c r="U165" t="s">
        <v>51</v>
      </c>
      <c r="V165" t="s">
        <v>86</v>
      </c>
      <c r="W165" s="3">
        <f>Table1[[#This Row],[Profit]]/Table1[[#This Row],[Sales]]</f>
        <v>0.18768509433538308</v>
      </c>
      <c r="X165" t="str">
        <f>IF(Table1[[#This Row],[Sales]]&gt;=30000,"High Value",IF(Table1[[#This Row],[Sales]]&gt;=15000,"Medium Value","Low Value"))</f>
        <v>Low Value</v>
      </c>
      <c r="Y165" t="str">
        <f>IF(Table1[[#This Row],[Quantity]]&gt;=3,"Bulk Order","Regular Order")</f>
        <v>Regular Order</v>
      </c>
      <c r="Z165" t="str">
        <f>TEXT(Table1[[#This Row],[Order Date]],"dddd")</f>
        <v>Sunday</v>
      </c>
    </row>
    <row r="166" spans="1:26" ht="14.4" x14ac:dyDescent="0.3">
      <c r="A166" t="s">
        <v>560</v>
      </c>
      <c r="B166" t="s">
        <v>561</v>
      </c>
      <c r="C166" s="2">
        <v>46177</v>
      </c>
      <c r="D166" t="s">
        <v>42</v>
      </c>
      <c r="E166" t="s">
        <v>133</v>
      </c>
      <c r="F166" t="s">
        <v>378</v>
      </c>
      <c r="G166" t="s">
        <v>286</v>
      </c>
      <c r="H166" t="s">
        <v>46</v>
      </c>
      <c r="I166" t="s">
        <v>33</v>
      </c>
      <c r="J166" t="s">
        <v>59</v>
      </c>
      <c r="K166" t="s">
        <v>95</v>
      </c>
      <c r="L166" t="s">
        <v>36</v>
      </c>
      <c r="M166">
        <v>1</v>
      </c>
      <c r="N166">
        <v>15605</v>
      </c>
      <c r="O166" s="2">
        <v>0</v>
      </c>
      <c r="P166" s="2">
        <v>15605</v>
      </c>
      <c r="Q166" s="2">
        <v>12545.01</v>
      </c>
      <c r="R166" s="2">
        <v>3059.99</v>
      </c>
      <c r="S166" t="s">
        <v>37</v>
      </c>
      <c r="T166">
        <v>5</v>
      </c>
      <c r="U166" t="s">
        <v>51</v>
      </c>
      <c r="V166" t="s">
        <v>75</v>
      </c>
      <c r="W166" s="3">
        <f>Table1[[#This Row],[Profit]]/Table1[[#This Row],[Sales]]</f>
        <v>0.19609035565523869</v>
      </c>
      <c r="X166" t="str">
        <f>IF(Table1[[#This Row],[Sales]]&gt;=30000,"High Value",IF(Table1[[#This Row],[Sales]]&gt;=15000,"Medium Value","Low Value"))</f>
        <v>Medium Value</v>
      </c>
      <c r="Y166" t="str">
        <f>IF(Table1[[#This Row],[Quantity]]&gt;=3,"Bulk Order","Regular Order")</f>
        <v>Regular Order</v>
      </c>
      <c r="Z166" t="str">
        <f>TEXT(Table1[[#This Row],[Order Date]],"dddd")</f>
        <v>Thursday</v>
      </c>
    </row>
    <row r="167" spans="1:26" ht="14.4" x14ac:dyDescent="0.3">
      <c r="A167" t="s">
        <v>562</v>
      </c>
      <c r="B167" t="s">
        <v>563</v>
      </c>
      <c r="C167" s="2">
        <v>46160</v>
      </c>
      <c r="D167" t="s">
        <v>28</v>
      </c>
      <c r="E167" t="s">
        <v>78</v>
      </c>
      <c r="F167" t="s">
        <v>423</v>
      </c>
      <c r="G167" t="s">
        <v>292</v>
      </c>
      <c r="H167" t="s">
        <v>46</v>
      </c>
      <c r="I167" t="s">
        <v>33</v>
      </c>
      <c r="J167" t="s">
        <v>59</v>
      </c>
      <c r="K167" t="s">
        <v>60</v>
      </c>
      <c r="L167" t="s">
        <v>61</v>
      </c>
      <c r="M167">
        <v>2</v>
      </c>
      <c r="N167">
        <v>16477</v>
      </c>
      <c r="O167" s="2">
        <v>0</v>
      </c>
      <c r="P167" s="2">
        <v>32954</v>
      </c>
      <c r="Q167" s="2">
        <v>25733.58</v>
      </c>
      <c r="R167" s="2">
        <v>7220.42</v>
      </c>
      <c r="S167" t="s">
        <v>81</v>
      </c>
      <c r="T167">
        <v>4</v>
      </c>
      <c r="U167" t="s">
        <v>51</v>
      </c>
      <c r="V167" t="s">
        <v>86</v>
      </c>
      <c r="W167" s="3">
        <f>Table1[[#This Row],[Profit]]/Table1[[#This Row],[Sales]]</f>
        <v>0.21910602658250897</v>
      </c>
      <c r="X167" t="str">
        <f>IF(Table1[[#This Row],[Sales]]&gt;=30000,"High Value",IF(Table1[[#This Row],[Sales]]&gt;=15000,"Medium Value","Low Value"))</f>
        <v>High Value</v>
      </c>
      <c r="Y167" t="str">
        <f>IF(Table1[[#This Row],[Quantity]]&gt;=3,"Bulk Order","Regular Order")</f>
        <v>Regular Order</v>
      </c>
      <c r="Z167" t="str">
        <f>TEXT(Table1[[#This Row],[Order Date]],"dddd")</f>
        <v>Monday</v>
      </c>
    </row>
    <row r="168" spans="1:26" ht="14.4" x14ac:dyDescent="0.3">
      <c r="A168" t="s">
        <v>564</v>
      </c>
      <c r="B168" t="s">
        <v>565</v>
      </c>
      <c r="C168" s="2">
        <v>46148</v>
      </c>
      <c r="D168" t="s">
        <v>28</v>
      </c>
      <c r="E168" t="s">
        <v>55</v>
      </c>
      <c r="F168" t="s">
        <v>457</v>
      </c>
      <c r="G168" t="s">
        <v>389</v>
      </c>
      <c r="H168" t="s">
        <v>46</v>
      </c>
      <c r="I168" t="s">
        <v>33</v>
      </c>
      <c r="J168" t="s">
        <v>169</v>
      </c>
      <c r="K168" t="s">
        <v>170</v>
      </c>
      <c r="L168" t="s">
        <v>171</v>
      </c>
      <c r="M168">
        <v>2</v>
      </c>
      <c r="N168">
        <v>11019</v>
      </c>
      <c r="O168" s="2">
        <v>5</v>
      </c>
      <c r="P168" s="2">
        <v>20936.099999999999</v>
      </c>
      <c r="Q168" s="2">
        <v>16566.71</v>
      </c>
      <c r="R168" s="2">
        <v>4369.3900000000003</v>
      </c>
      <c r="S168" t="s">
        <v>81</v>
      </c>
      <c r="T168">
        <v>4</v>
      </c>
      <c r="U168" t="s">
        <v>51</v>
      </c>
      <c r="V168" t="s">
        <v>86</v>
      </c>
      <c r="W168" s="3">
        <f>Table1[[#This Row],[Profit]]/Table1[[#This Row],[Sales]]</f>
        <v>0.2087012385305764</v>
      </c>
      <c r="X168" t="str">
        <f>IF(Table1[[#This Row],[Sales]]&gt;=30000,"High Value",IF(Table1[[#This Row],[Sales]]&gt;=15000,"Medium Value","Low Value"))</f>
        <v>Medium Value</v>
      </c>
      <c r="Y168" t="str">
        <f>IF(Table1[[#This Row],[Quantity]]&gt;=3,"Bulk Order","Regular Order")</f>
        <v>Regular Order</v>
      </c>
      <c r="Z168" t="str">
        <f>TEXT(Table1[[#This Row],[Order Date]],"dddd")</f>
        <v>Wednesday</v>
      </c>
    </row>
    <row r="169" spans="1:26" ht="14.4" x14ac:dyDescent="0.3">
      <c r="A169" t="s">
        <v>566</v>
      </c>
      <c r="B169" t="s">
        <v>567</v>
      </c>
      <c r="C169" s="2">
        <v>46153</v>
      </c>
      <c r="D169" t="s">
        <v>28</v>
      </c>
      <c r="E169" t="s">
        <v>55</v>
      </c>
      <c r="F169" t="s">
        <v>420</v>
      </c>
      <c r="G169" t="s">
        <v>94</v>
      </c>
      <c r="H169" t="s">
        <v>46</v>
      </c>
      <c r="I169" t="s">
        <v>33</v>
      </c>
      <c r="J169" t="s">
        <v>47</v>
      </c>
      <c r="K169" t="s">
        <v>48</v>
      </c>
      <c r="L169" t="s">
        <v>49</v>
      </c>
      <c r="M169">
        <v>2</v>
      </c>
      <c r="N169">
        <v>8623</v>
      </c>
      <c r="O169" s="2">
        <v>0</v>
      </c>
      <c r="P169" s="2">
        <v>17246</v>
      </c>
      <c r="Q169" s="2">
        <v>13703.82</v>
      </c>
      <c r="R169" s="2">
        <v>3542.18</v>
      </c>
      <c r="S169" t="s">
        <v>50</v>
      </c>
      <c r="T169">
        <v>5</v>
      </c>
      <c r="U169" t="s">
        <v>51</v>
      </c>
      <c r="V169" t="s">
        <v>63</v>
      </c>
      <c r="W169" s="3">
        <f>Table1[[#This Row],[Profit]]/Table1[[#This Row],[Sales]]</f>
        <v>0.20539139510611154</v>
      </c>
      <c r="X169" t="str">
        <f>IF(Table1[[#This Row],[Sales]]&gt;=30000,"High Value",IF(Table1[[#This Row],[Sales]]&gt;=15000,"Medium Value","Low Value"))</f>
        <v>Medium Value</v>
      </c>
      <c r="Y169" t="str">
        <f>IF(Table1[[#This Row],[Quantity]]&gt;=3,"Bulk Order","Regular Order")</f>
        <v>Regular Order</v>
      </c>
      <c r="Z169" t="str">
        <f>TEXT(Table1[[#This Row],[Order Date]],"dddd")</f>
        <v>Monday</v>
      </c>
    </row>
    <row r="170" spans="1:26" ht="14.4" x14ac:dyDescent="0.3">
      <c r="A170" t="s">
        <v>568</v>
      </c>
      <c r="B170" t="s">
        <v>569</v>
      </c>
      <c r="C170" s="2">
        <v>46152</v>
      </c>
      <c r="D170" t="s">
        <v>28</v>
      </c>
      <c r="E170" t="s">
        <v>43</v>
      </c>
      <c r="F170" t="s">
        <v>570</v>
      </c>
      <c r="G170" t="s">
        <v>245</v>
      </c>
      <c r="H170" t="s">
        <v>46</v>
      </c>
      <c r="I170" t="s">
        <v>58</v>
      </c>
      <c r="J170" t="s">
        <v>59</v>
      </c>
      <c r="K170" t="s">
        <v>60</v>
      </c>
      <c r="L170" t="s">
        <v>61</v>
      </c>
      <c r="M170">
        <v>5</v>
      </c>
      <c r="N170">
        <v>15583</v>
      </c>
      <c r="O170" s="2">
        <v>15</v>
      </c>
      <c r="P170" s="2">
        <v>66227.75</v>
      </c>
      <c r="Q170" s="2">
        <v>54088.38</v>
      </c>
      <c r="R170" s="2">
        <v>12139.37</v>
      </c>
      <c r="S170" t="s">
        <v>81</v>
      </c>
      <c r="T170">
        <v>4</v>
      </c>
      <c r="U170" t="s">
        <v>51</v>
      </c>
      <c r="V170" t="s">
        <v>116</v>
      </c>
      <c r="W170" s="3">
        <f>Table1[[#This Row],[Profit]]/Table1[[#This Row],[Sales]]</f>
        <v>0.18329733382154761</v>
      </c>
      <c r="X170" t="str">
        <f>IF(Table1[[#This Row],[Sales]]&gt;=30000,"High Value",IF(Table1[[#This Row],[Sales]]&gt;=15000,"Medium Value","Low Value"))</f>
        <v>High Value</v>
      </c>
      <c r="Y170" t="str">
        <f>IF(Table1[[#This Row],[Quantity]]&gt;=3,"Bulk Order","Regular Order")</f>
        <v>Bulk Order</v>
      </c>
      <c r="Z170" t="str">
        <f>TEXT(Table1[[#This Row],[Order Date]],"dddd")</f>
        <v>Sunday</v>
      </c>
    </row>
    <row r="171" spans="1:26" ht="14.4" x14ac:dyDescent="0.3">
      <c r="A171" t="s">
        <v>571</v>
      </c>
      <c r="B171" t="s">
        <v>572</v>
      </c>
      <c r="C171" s="2">
        <v>46200</v>
      </c>
      <c r="D171" t="s">
        <v>42</v>
      </c>
      <c r="E171" t="s">
        <v>78</v>
      </c>
      <c r="F171" t="s">
        <v>338</v>
      </c>
      <c r="G171" t="s">
        <v>322</v>
      </c>
      <c r="H171" t="s">
        <v>32</v>
      </c>
      <c r="I171" t="s">
        <v>33</v>
      </c>
      <c r="J171" t="s">
        <v>149</v>
      </c>
      <c r="K171" t="s">
        <v>150</v>
      </c>
      <c r="L171" t="s">
        <v>151</v>
      </c>
      <c r="M171">
        <v>1</v>
      </c>
      <c r="N171">
        <v>3777</v>
      </c>
      <c r="O171" s="2">
        <v>10</v>
      </c>
      <c r="P171" s="2">
        <v>3399.3</v>
      </c>
      <c r="Q171" s="2">
        <v>2572.4299999999998</v>
      </c>
      <c r="R171" s="2">
        <v>826.87</v>
      </c>
      <c r="S171" t="s">
        <v>50</v>
      </c>
      <c r="T171">
        <v>5</v>
      </c>
      <c r="U171" t="s">
        <v>51</v>
      </c>
      <c r="V171" t="s">
        <v>39</v>
      </c>
      <c r="W171" s="3">
        <f>Table1[[#This Row],[Profit]]/Table1[[#This Row],[Sales]]</f>
        <v>0.24324713911687698</v>
      </c>
      <c r="X171" t="str">
        <f>IF(Table1[[#This Row],[Sales]]&gt;=30000,"High Value",IF(Table1[[#This Row],[Sales]]&gt;=15000,"Medium Value","Low Value"))</f>
        <v>Low Value</v>
      </c>
      <c r="Y171" t="str">
        <f>IF(Table1[[#This Row],[Quantity]]&gt;=3,"Bulk Order","Regular Order")</f>
        <v>Regular Order</v>
      </c>
      <c r="Z171" t="str">
        <f>TEXT(Table1[[#This Row],[Order Date]],"dddd")</f>
        <v>Saturday</v>
      </c>
    </row>
    <row r="172" spans="1:26" ht="14.4" x14ac:dyDescent="0.3">
      <c r="A172" t="s">
        <v>573</v>
      </c>
      <c r="B172" t="s">
        <v>574</v>
      </c>
      <c r="C172" s="2">
        <v>46201</v>
      </c>
      <c r="D172" t="s">
        <v>42</v>
      </c>
      <c r="E172" t="s">
        <v>55</v>
      </c>
      <c r="F172" t="s">
        <v>111</v>
      </c>
      <c r="G172" t="s">
        <v>211</v>
      </c>
      <c r="H172" t="s">
        <v>32</v>
      </c>
      <c r="I172" t="s">
        <v>33</v>
      </c>
      <c r="J172" t="s">
        <v>169</v>
      </c>
      <c r="K172" t="s">
        <v>170</v>
      </c>
      <c r="L172" t="s">
        <v>171</v>
      </c>
      <c r="M172">
        <v>2</v>
      </c>
      <c r="N172">
        <v>9681</v>
      </c>
      <c r="O172" s="2">
        <v>10</v>
      </c>
      <c r="P172" s="2">
        <v>17425.8</v>
      </c>
      <c r="Q172" s="2">
        <v>13785.32</v>
      </c>
      <c r="R172" s="2">
        <v>3640.48</v>
      </c>
      <c r="S172" t="s">
        <v>37</v>
      </c>
      <c r="T172">
        <v>5</v>
      </c>
      <c r="U172" t="s">
        <v>51</v>
      </c>
      <c r="V172" t="s">
        <v>39</v>
      </c>
      <c r="W172" s="3">
        <f>Table1[[#This Row],[Profit]]/Table1[[#This Row],[Sales]]</f>
        <v>0.20891322062688658</v>
      </c>
      <c r="X172" t="str">
        <f>IF(Table1[[#This Row],[Sales]]&gt;=30000,"High Value",IF(Table1[[#This Row],[Sales]]&gt;=15000,"Medium Value","Low Value"))</f>
        <v>Medium Value</v>
      </c>
      <c r="Y172" t="str">
        <f>IF(Table1[[#This Row],[Quantity]]&gt;=3,"Bulk Order","Regular Order")</f>
        <v>Regular Order</v>
      </c>
      <c r="Z172" t="str">
        <f>TEXT(Table1[[#This Row],[Order Date]],"dddd")</f>
        <v>Sunday</v>
      </c>
    </row>
    <row r="173" spans="1:26" ht="14.4" x14ac:dyDescent="0.3">
      <c r="A173" t="s">
        <v>575</v>
      </c>
      <c r="B173" t="s">
        <v>576</v>
      </c>
      <c r="C173" s="2">
        <v>46170</v>
      </c>
      <c r="D173" t="s">
        <v>28</v>
      </c>
      <c r="E173" t="s">
        <v>55</v>
      </c>
      <c r="F173" t="s">
        <v>487</v>
      </c>
      <c r="G173" t="s">
        <v>225</v>
      </c>
      <c r="H173" t="s">
        <v>32</v>
      </c>
      <c r="I173" t="s">
        <v>33</v>
      </c>
      <c r="J173" t="s">
        <v>59</v>
      </c>
      <c r="K173" t="s">
        <v>60</v>
      </c>
      <c r="L173" t="s">
        <v>61</v>
      </c>
      <c r="M173">
        <v>1</v>
      </c>
      <c r="N173">
        <v>15796</v>
      </c>
      <c r="O173" s="2">
        <v>10</v>
      </c>
      <c r="P173" s="2">
        <v>14216.4</v>
      </c>
      <c r="Q173" s="2">
        <v>11097.66</v>
      </c>
      <c r="R173" s="2">
        <v>3118.74</v>
      </c>
      <c r="S173" t="s">
        <v>37</v>
      </c>
      <c r="T173">
        <v>4</v>
      </c>
      <c r="U173" t="s">
        <v>51</v>
      </c>
      <c r="V173" t="s">
        <v>39</v>
      </c>
      <c r="W173" s="3">
        <f>Table1[[#This Row],[Profit]]/Table1[[#This Row],[Sales]]</f>
        <v>0.21937621338735544</v>
      </c>
      <c r="X173" t="str">
        <f>IF(Table1[[#This Row],[Sales]]&gt;=30000,"High Value",IF(Table1[[#This Row],[Sales]]&gt;=15000,"Medium Value","Low Value"))</f>
        <v>Low Value</v>
      </c>
      <c r="Y173" t="str">
        <f>IF(Table1[[#This Row],[Quantity]]&gt;=3,"Bulk Order","Regular Order")</f>
        <v>Regular Order</v>
      </c>
      <c r="Z173" t="str">
        <f>TEXT(Table1[[#This Row],[Order Date]],"dddd")</f>
        <v>Thursday</v>
      </c>
    </row>
    <row r="174" spans="1:26" ht="14.4" x14ac:dyDescent="0.3">
      <c r="A174" t="s">
        <v>577</v>
      </c>
      <c r="B174" t="s">
        <v>578</v>
      </c>
      <c r="C174" s="2">
        <v>46187</v>
      </c>
      <c r="D174" t="s">
        <v>42</v>
      </c>
      <c r="E174" t="s">
        <v>133</v>
      </c>
      <c r="F174" t="s">
        <v>547</v>
      </c>
      <c r="G174" t="s">
        <v>182</v>
      </c>
      <c r="H174" t="s">
        <v>46</v>
      </c>
      <c r="I174" t="s">
        <v>33</v>
      </c>
      <c r="J174" t="s">
        <v>59</v>
      </c>
      <c r="K174" t="s">
        <v>60</v>
      </c>
      <c r="L174" t="s">
        <v>61</v>
      </c>
      <c r="M174">
        <v>2</v>
      </c>
      <c r="N174">
        <v>17931</v>
      </c>
      <c r="O174" s="2">
        <v>10</v>
      </c>
      <c r="P174" s="2">
        <v>32275.8</v>
      </c>
      <c r="Q174" s="2">
        <v>25654.68</v>
      </c>
      <c r="R174" s="2">
        <v>6621.12</v>
      </c>
      <c r="S174" t="s">
        <v>81</v>
      </c>
      <c r="T174">
        <v>4</v>
      </c>
      <c r="U174" t="s">
        <v>51</v>
      </c>
      <c r="V174" t="s">
        <v>86</v>
      </c>
      <c r="W174" s="3">
        <f>Table1[[#This Row],[Profit]]/Table1[[#This Row],[Sales]]</f>
        <v>0.20514193296525571</v>
      </c>
      <c r="X174" t="str">
        <f>IF(Table1[[#This Row],[Sales]]&gt;=30000,"High Value",IF(Table1[[#This Row],[Sales]]&gt;=15000,"Medium Value","Low Value"))</f>
        <v>High Value</v>
      </c>
      <c r="Y174" t="str">
        <f>IF(Table1[[#This Row],[Quantity]]&gt;=3,"Bulk Order","Regular Order")</f>
        <v>Regular Order</v>
      </c>
      <c r="Z174" t="str">
        <f>TEXT(Table1[[#This Row],[Order Date]],"dddd")</f>
        <v>Sunday</v>
      </c>
    </row>
    <row r="175" spans="1:26" ht="14.4" x14ac:dyDescent="0.3">
      <c r="A175" t="s">
        <v>579</v>
      </c>
      <c r="B175" t="s">
        <v>580</v>
      </c>
      <c r="C175" s="2">
        <v>46185</v>
      </c>
      <c r="D175" t="s">
        <v>42</v>
      </c>
      <c r="E175" t="s">
        <v>55</v>
      </c>
      <c r="F175" t="s">
        <v>581</v>
      </c>
      <c r="G175" t="s">
        <v>235</v>
      </c>
      <c r="H175" t="s">
        <v>46</v>
      </c>
      <c r="I175" t="s">
        <v>33</v>
      </c>
      <c r="J175" t="s">
        <v>34</v>
      </c>
      <c r="K175" t="s">
        <v>35</v>
      </c>
      <c r="L175" t="s">
        <v>36</v>
      </c>
      <c r="M175">
        <v>2</v>
      </c>
      <c r="N175">
        <v>11854</v>
      </c>
      <c r="O175" s="2">
        <v>0</v>
      </c>
      <c r="P175" s="2">
        <v>23708</v>
      </c>
      <c r="Q175" s="2">
        <v>18576.97</v>
      </c>
      <c r="R175" s="2">
        <v>5131.03</v>
      </c>
      <c r="S175" t="s">
        <v>81</v>
      </c>
      <c r="T175">
        <v>5</v>
      </c>
      <c r="U175" t="s">
        <v>51</v>
      </c>
      <c r="V175" t="s">
        <v>39</v>
      </c>
      <c r="W175" s="3">
        <f>Table1[[#This Row],[Profit]]/Table1[[#This Row],[Sales]]</f>
        <v>0.21642610089421291</v>
      </c>
      <c r="X175" t="str">
        <f>IF(Table1[[#This Row],[Sales]]&gt;=30000,"High Value",IF(Table1[[#This Row],[Sales]]&gt;=15000,"Medium Value","Low Value"))</f>
        <v>Medium Value</v>
      </c>
      <c r="Y175" t="str">
        <f>IF(Table1[[#This Row],[Quantity]]&gt;=3,"Bulk Order","Regular Order")</f>
        <v>Regular Order</v>
      </c>
      <c r="Z175" t="str">
        <f>TEXT(Table1[[#This Row],[Order Date]],"dddd")</f>
        <v>Friday</v>
      </c>
    </row>
    <row r="176" spans="1:26" ht="14.4" x14ac:dyDescent="0.3">
      <c r="A176" t="s">
        <v>582</v>
      </c>
      <c r="B176" t="s">
        <v>583</v>
      </c>
      <c r="C176" s="2">
        <v>46183</v>
      </c>
      <c r="D176" t="s">
        <v>42</v>
      </c>
      <c r="E176" t="s">
        <v>133</v>
      </c>
      <c r="F176" t="s">
        <v>584</v>
      </c>
      <c r="G176" t="s">
        <v>322</v>
      </c>
      <c r="H176" t="s">
        <v>32</v>
      </c>
      <c r="I176" t="s">
        <v>58</v>
      </c>
      <c r="J176" t="s">
        <v>59</v>
      </c>
      <c r="K176" t="s">
        <v>95</v>
      </c>
      <c r="L176" t="s">
        <v>36</v>
      </c>
      <c r="M176">
        <v>4</v>
      </c>
      <c r="N176">
        <v>14738</v>
      </c>
      <c r="O176" s="2">
        <v>0</v>
      </c>
      <c r="P176" s="2">
        <v>58952</v>
      </c>
      <c r="Q176" s="2">
        <v>47721.4</v>
      </c>
      <c r="R176" s="2">
        <v>11230.6</v>
      </c>
      <c r="S176" t="s">
        <v>37</v>
      </c>
      <c r="T176">
        <v>3</v>
      </c>
      <c r="U176" t="s">
        <v>38</v>
      </c>
      <c r="V176" t="s">
        <v>39</v>
      </c>
      <c r="W176" s="3">
        <f>Table1[[#This Row],[Profit]]/Table1[[#This Row],[Sales]]</f>
        <v>0.19050413896051024</v>
      </c>
      <c r="X176" t="str">
        <f>IF(Table1[[#This Row],[Sales]]&gt;=30000,"High Value",IF(Table1[[#This Row],[Sales]]&gt;=15000,"Medium Value","Low Value"))</f>
        <v>High Value</v>
      </c>
      <c r="Y176" t="str">
        <f>IF(Table1[[#This Row],[Quantity]]&gt;=3,"Bulk Order","Regular Order")</f>
        <v>Bulk Order</v>
      </c>
      <c r="Z176" t="str">
        <f>TEXT(Table1[[#This Row],[Order Date]],"dddd")</f>
        <v>Wednesday</v>
      </c>
    </row>
    <row r="177" spans="1:26" ht="14.4" x14ac:dyDescent="0.3">
      <c r="A177" t="s">
        <v>585</v>
      </c>
      <c r="B177" t="s">
        <v>586</v>
      </c>
      <c r="C177" s="2">
        <v>46147</v>
      </c>
      <c r="D177" t="s">
        <v>28</v>
      </c>
      <c r="E177" t="s">
        <v>66</v>
      </c>
      <c r="F177" t="s">
        <v>587</v>
      </c>
      <c r="G177" t="s">
        <v>68</v>
      </c>
      <c r="H177" t="s">
        <v>32</v>
      </c>
      <c r="I177" t="s">
        <v>33</v>
      </c>
      <c r="J177" t="s">
        <v>59</v>
      </c>
      <c r="K177" t="s">
        <v>60</v>
      </c>
      <c r="L177" t="s">
        <v>61</v>
      </c>
      <c r="M177">
        <v>1</v>
      </c>
      <c r="N177">
        <v>16174</v>
      </c>
      <c r="O177" s="2">
        <v>5</v>
      </c>
      <c r="P177" s="2">
        <v>15365.3</v>
      </c>
      <c r="Q177" s="2">
        <v>12567.62</v>
      </c>
      <c r="R177" s="2">
        <v>2797.68</v>
      </c>
      <c r="S177" t="s">
        <v>37</v>
      </c>
      <c r="T177">
        <v>3</v>
      </c>
      <c r="U177" t="s">
        <v>51</v>
      </c>
      <c r="V177" t="s">
        <v>63</v>
      </c>
      <c r="W177" s="3">
        <f>Table1[[#This Row],[Profit]]/Table1[[#This Row],[Sales]]</f>
        <v>0.18207779867623802</v>
      </c>
      <c r="X177" t="str">
        <f>IF(Table1[[#This Row],[Sales]]&gt;=30000,"High Value",IF(Table1[[#This Row],[Sales]]&gt;=15000,"Medium Value","Low Value"))</f>
        <v>Medium Value</v>
      </c>
      <c r="Y177" t="str">
        <f>IF(Table1[[#This Row],[Quantity]]&gt;=3,"Bulk Order","Regular Order")</f>
        <v>Regular Order</v>
      </c>
      <c r="Z177" t="str">
        <f>TEXT(Table1[[#This Row],[Order Date]],"dddd")</f>
        <v>Tuesday</v>
      </c>
    </row>
    <row r="178" spans="1:26" ht="14.4" x14ac:dyDescent="0.3">
      <c r="A178" t="s">
        <v>588</v>
      </c>
      <c r="B178" t="s">
        <v>589</v>
      </c>
      <c r="C178" s="2">
        <v>46149</v>
      </c>
      <c r="D178" t="s">
        <v>28</v>
      </c>
      <c r="E178" t="s">
        <v>55</v>
      </c>
      <c r="F178" t="s">
        <v>338</v>
      </c>
      <c r="G178" t="s">
        <v>94</v>
      </c>
      <c r="H178" t="s">
        <v>46</v>
      </c>
      <c r="I178" t="s">
        <v>33</v>
      </c>
      <c r="J178" t="s">
        <v>59</v>
      </c>
      <c r="K178" t="s">
        <v>95</v>
      </c>
      <c r="L178" t="s">
        <v>36</v>
      </c>
      <c r="M178">
        <v>1</v>
      </c>
      <c r="N178">
        <v>15781</v>
      </c>
      <c r="O178" s="2">
        <v>10</v>
      </c>
      <c r="P178" s="2">
        <v>14202.9</v>
      </c>
      <c r="Q178" s="2">
        <v>11133.15</v>
      </c>
      <c r="R178" s="2">
        <v>3069.75</v>
      </c>
      <c r="S178" t="s">
        <v>50</v>
      </c>
      <c r="T178">
        <v>3</v>
      </c>
      <c r="U178" t="s">
        <v>51</v>
      </c>
      <c r="V178" t="s">
        <v>39</v>
      </c>
      <c r="W178" s="3">
        <f>Table1[[#This Row],[Profit]]/Table1[[#This Row],[Sales]]</f>
        <v>0.21613543712903704</v>
      </c>
      <c r="X178" t="str">
        <f>IF(Table1[[#This Row],[Sales]]&gt;=30000,"High Value",IF(Table1[[#This Row],[Sales]]&gt;=15000,"Medium Value","Low Value"))</f>
        <v>Low Value</v>
      </c>
      <c r="Y178" t="str">
        <f>IF(Table1[[#This Row],[Quantity]]&gt;=3,"Bulk Order","Regular Order")</f>
        <v>Regular Order</v>
      </c>
      <c r="Z178" t="str">
        <f>TEXT(Table1[[#This Row],[Order Date]],"dddd")</f>
        <v>Thursday</v>
      </c>
    </row>
    <row r="179" spans="1:26" ht="14.4" x14ac:dyDescent="0.3">
      <c r="A179" t="s">
        <v>590</v>
      </c>
      <c r="B179" t="s">
        <v>591</v>
      </c>
      <c r="C179" s="2">
        <v>46177</v>
      </c>
      <c r="D179" t="s">
        <v>42</v>
      </c>
      <c r="E179" t="s">
        <v>133</v>
      </c>
      <c r="F179" t="s">
        <v>592</v>
      </c>
      <c r="G179" t="s">
        <v>389</v>
      </c>
      <c r="H179" t="s">
        <v>46</v>
      </c>
      <c r="I179" t="s">
        <v>33</v>
      </c>
      <c r="J179" t="s">
        <v>59</v>
      </c>
      <c r="K179" t="s">
        <v>60</v>
      </c>
      <c r="L179" t="s">
        <v>61</v>
      </c>
      <c r="M179">
        <v>1</v>
      </c>
      <c r="N179">
        <v>16216</v>
      </c>
      <c r="O179" s="2">
        <v>5</v>
      </c>
      <c r="P179" s="2">
        <v>15405.2</v>
      </c>
      <c r="Q179" s="2">
        <v>12334.86</v>
      </c>
      <c r="R179" s="2">
        <v>3070.34</v>
      </c>
      <c r="S179" t="s">
        <v>37</v>
      </c>
      <c r="T179">
        <v>5</v>
      </c>
      <c r="U179" t="s">
        <v>51</v>
      </c>
      <c r="V179" t="s">
        <v>75</v>
      </c>
      <c r="W179" s="3">
        <f>Table1[[#This Row],[Profit]]/Table1[[#This Row],[Sales]]</f>
        <v>0.19930542933554904</v>
      </c>
      <c r="X179" t="str">
        <f>IF(Table1[[#This Row],[Sales]]&gt;=30000,"High Value",IF(Table1[[#This Row],[Sales]]&gt;=15000,"Medium Value","Low Value"))</f>
        <v>Medium Value</v>
      </c>
      <c r="Y179" t="str">
        <f>IF(Table1[[#This Row],[Quantity]]&gt;=3,"Bulk Order","Regular Order")</f>
        <v>Regular Order</v>
      </c>
      <c r="Z179" t="str">
        <f>TEXT(Table1[[#This Row],[Order Date]],"dddd")</f>
        <v>Thursday</v>
      </c>
    </row>
    <row r="180" spans="1:26" ht="14.4" x14ac:dyDescent="0.3">
      <c r="A180" t="s">
        <v>593</v>
      </c>
      <c r="B180" t="s">
        <v>594</v>
      </c>
      <c r="C180" s="2">
        <v>46165</v>
      </c>
      <c r="D180" t="s">
        <v>28</v>
      </c>
      <c r="E180" t="s">
        <v>66</v>
      </c>
      <c r="F180" t="s">
        <v>595</v>
      </c>
      <c r="G180" t="s">
        <v>161</v>
      </c>
      <c r="H180" t="s">
        <v>32</v>
      </c>
      <c r="I180" t="s">
        <v>33</v>
      </c>
      <c r="J180" t="s">
        <v>59</v>
      </c>
      <c r="K180" t="s">
        <v>60</v>
      </c>
      <c r="L180" t="s">
        <v>61</v>
      </c>
      <c r="M180">
        <v>2</v>
      </c>
      <c r="N180">
        <v>15604</v>
      </c>
      <c r="O180" s="2">
        <v>15</v>
      </c>
      <c r="P180" s="2">
        <v>26526.799999999999</v>
      </c>
      <c r="Q180" s="2">
        <v>20839.96</v>
      </c>
      <c r="R180" s="2">
        <v>5686.84</v>
      </c>
      <c r="S180" t="s">
        <v>81</v>
      </c>
      <c r="T180">
        <v>5</v>
      </c>
      <c r="U180" t="s">
        <v>51</v>
      </c>
      <c r="V180" t="s">
        <v>116</v>
      </c>
      <c r="W180" s="3">
        <f>Table1[[#This Row],[Profit]]/Table1[[#This Row],[Sales]]</f>
        <v>0.21438092796718791</v>
      </c>
      <c r="X180" t="str">
        <f>IF(Table1[[#This Row],[Sales]]&gt;=30000,"High Value",IF(Table1[[#This Row],[Sales]]&gt;=15000,"Medium Value","Low Value"))</f>
        <v>Medium Value</v>
      </c>
      <c r="Y180" t="str">
        <f>IF(Table1[[#This Row],[Quantity]]&gt;=3,"Bulk Order","Regular Order")</f>
        <v>Regular Order</v>
      </c>
      <c r="Z180" t="str">
        <f>TEXT(Table1[[#This Row],[Order Date]],"dddd")</f>
        <v>Saturday</v>
      </c>
    </row>
    <row r="181" spans="1:26" ht="14.4" x14ac:dyDescent="0.3">
      <c r="A181" t="s">
        <v>596</v>
      </c>
      <c r="B181" t="s">
        <v>597</v>
      </c>
      <c r="C181" s="2">
        <v>46196</v>
      </c>
      <c r="D181" t="s">
        <v>42</v>
      </c>
      <c r="E181" t="s">
        <v>55</v>
      </c>
      <c r="F181" t="s">
        <v>598</v>
      </c>
      <c r="G181" t="s">
        <v>193</v>
      </c>
      <c r="H181" t="s">
        <v>32</v>
      </c>
      <c r="I181" t="s">
        <v>33</v>
      </c>
      <c r="J181" t="s">
        <v>169</v>
      </c>
      <c r="K181" t="s">
        <v>170</v>
      </c>
      <c r="L181" t="s">
        <v>171</v>
      </c>
      <c r="M181">
        <v>2</v>
      </c>
      <c r="N181">
        <v>11535</v>
      </c>
      <c r="O181" s="2">
        <v>10</v>
      </c>
      <c r="P181" s="2">
        <v>20763</v>
      </c>
      <c r="Q181" s="2">
        <v>16380.8</v>
      </c>
      <c r="R181" s="2">
        <v>4382.2</v>
      </c>
      <c r="S181" t="s">
        <v>37</v>
      </c>
      <c r="T181">
        <v>5</v>
      </c>
      <c r="U181" t="s">
        <v>51</v>
      </c>
      <c r="V181" t="s">
        <v>86</v>
      </c>
      <c r="W181" s="3">
        <f>Table1[[#This Row],[Profit]]/Table1[[#This Row],[Sales]]</f>
        <v>0.21105813225449116</v>
      </c>
      <c r="X181" t="str">
        <f>IF(Table1[[#This Row],[Sales]]&gt;=30000,"High Value",IF(Table1[[#This Row],[Sales]]&gt;=15000,"Medium Value","Low Value"))</f>
        <v>Medium Value</v>
      </c>
      <c r="Y181" t="str">
        <f>IF(Table1[[#This Row],[Quantity]]&gt;=3,"Bulk Order","Regular Order")</f>
        <v>Regular Order</v>
      </c>
      <c r="Z181" t="str">
        <f>TEXT(Table1[[#This Row],[Order Date]],"dddd")</f>
        <v>Tuesday</v>
      </c>
    </row>
    <row r="182" spans="1:26" ht="14.4" x14ac:dyDescent="0.3">
      <c r="A182" t="s">
        <v>599</v>
      </c>
      <c r="B182" t="s">
        <v>600</v>
      </c>
      <c r="C182" s="2">
        <v>46178</v>
      </c>
      <c r="D182" t="s">
        <v>42</v>
      </c>
      <c r="E182" t="s">
        <v>43</v>
      </c>
      <c r="F182" t="s">
        <v>378</v>
      </c>
      <c r="G182" t="s">
        <v>283</v>
      </c>
      <c r="H182" t="s">
        <v>32</v>
      </c>
      <c r="I182" t="s">
        <v>33</v>
      </c>
      <c r="J182" t="s">
        <v>47</v>
      </c>
      <c r="K182" t="s">
        <v>69</v>
      </c>
      <c r="L182" t="s">
        <v>70</v>
      </c>
      <c r="M182">
        <v>2</v>
      </c>
      <c r="N182">
        <v>8635</v>
      </c>
      <c r="O182" s="2">
        <v>5</v>
      </c>
      <c r="P182" s="2">
        <v>16406.5</v>
      </c>
      <c r="Q182" s="2">
        <v>13056.08</v>
      </c>
      <c r="R182" s="2">
        <v>3350.42</v>
      </c>
      <c r="S182" t="s">
        <v>62</v>
      </c>
      <c r="T182">
        <v>4</v>
      </c>
      <c r="U182" t="s">
        <v>51</v>
      </c>
      <c r="V182" t="s">
        <v>52</v>
      </c>
      <c r="W182" s="3">
        <f>Table1[[#This Row],[Profit]]/Table1[[#This Row],[Sales]]</f>
        <v>0.2042129643738762</v>
      </c>
      <c r="X182" t="str">
        <f>IF(Table1[[#This Row],[Sales]]&gt;=30000,"High Value",IF(Table1[[#This Row],[Sales]]&gt;=15000,"Medium Value","Low Value"))</f>
        <v>Medium Value</v>
      </c>
      <c r="Y182" t="str">
        <f>IF(Table1[[#This Row],[Quantity]]&gt;=3,"Bulk Order","Regular Order")</f>
        <v>Regular Order</v>
      </c>
      <c r="Z182" t="str">
        <f>TEXT(Table1[[#This Row],[Order Date]],"dddd")</f>
        <v>Friday</v>
      </c>
    </row>
    <row r="183" spans="1:26" ht="14.4" x14ac:dyDescent="0.3">
      <c r="A183" t="s">
        <v>601</v>
      </c>
      <c r="B183" t="s">
        <v>602</v>
      </c>
      <c r="C183" s="2">
        <v>46195</v>
      </c>
      <c r="D183" t="s">
        <v>42</v>
      </c>
      <c r="E183" t="s">
        <v>55</v>
      </c>
      <c r="F183" t="s">
        <v>119</v>
      </c>
      <c r="G183" t="s">
        <v>104</v>
      </c>
      <c r="H183" t="s">
        <v>32</v>
      </c>
      <c r="I183" t="s">
        <v>33</v>
      </c>
      <c r="J183" t="s">
        <v>169</v>
      </c>
      <c r="K183" t="s">
        <v>170</v>
      </c>
      <c r="L183" t="s">
        <v>171</v>
      </c>
      <c r="M183">
        <v>2</v>
      </c>
      <c r="N183">
        <v>9320</v>
      </c>
      <c r="O183" s="2">
        <v>15</v>
      </c>
      <c r="P183" s="2">
        <v>15844</v>
      </c>
      <c r="Q183" s="2">
        <v>12540.29</v>
      </c>
      <c r="R183" s="2">
        <v>3303.71</v>
      </c>
      <c r="S183" t="s">
        <v>50</v>
      </c>
      <c r="T183">
        <v>5</v>
      </c>
      <c r="U183" t="s">
        <v>51</v>
      </c>
      <c r="V183" t="s">
        <v>86</v>
      </c>
      <c r="W183" s="3">
        <f>Table1[[#This Row],[Profit]]/Table1[[#This Row],[Sales]]</f>
        <v>0.20851489522847766</v>
      </c>
      <c r="X183" t="str">
        <f>IF(Table1[[#This Row],[Sales]]&gt;=30000,"High Value",IF(Table1[[#This Row],[Sales]]&gt;=15000,"Medium Value","Low Value"))</f>
        <v>Medium Value</v>
      </c>
      <c r="Y183" t="str">
        <f>IF(Table1[[#This Row],[Quantity]]&gt;=3,"Bulk Order","Regular Order")</f>
        <v>Regular Order</v>
      </c>
      <c r="Z183" t="str">
        <f>TEXT(Table1[[#This Row],[Order Date]],"dddd")</f>
        <v>Monday</v>
      </c>
    </row>
    <row r="184" spans="1:26" ht="14.4" x14ac:dyDescent="0.3">
      <c r="A184" t="s">
        <v>603</v>
      </c>
      <c r="B184" t="s">
        <v>604</v>
      </c>
      <c r="C184" s="2">
        <v>46160</v>
      </c>
      <c r="D184" t="s">
        <v>28</v>
      </c>
      <c r="E184" t="s">
        <v>66</v>
      </c>
      <c r="F184" t="s">
        <v>157</v>
      </c>
      <c r="G184" t="s">
        <v>322</v>
      </c>
      <c r="H184" t="s">
        <v>32</v>
      </c>
      <c r="I184" t="s">
        <v>33</v>
      </c>
      <c r="J184" t="s">
        <v>47</v>
      </c>
      <c r="K184" t="s">
        <v>69</v>
      </c>
      <c r="L184" t="s">
        <v>70</v>
      </c>
      <c r="M184">
        <v>2</v>
      </c>
      <c r="N184">
        <v>7659</v>
      </c>
      <c r="O184" s="2">
        <v>10</v>
      </c>
      <c r="P184" s="2">
        <v>13786.2</v>
      </c>
      <c r="Q184" s="2">
        <v>10793.26</v>
      </c>
      <c r="R184" s="2">
        <v>2992.94</v>
      </c>
      <c r="S184" t="s">
        <v>37</v>
      </c>
      <c r="T184">
        <v>5</v>
      </c>
      <c r="U184" t="s">
        <v>51</v>
      </c>
      <c r="V184" t="s">
        <v>52</v>
      </c>
      <c r="W184" s="3">
        <f>Table1[[#This Row],[Profit]]/Table1[[#This Row],[Sales]]</f>
        <v>0.21709680695187941</v>
      </c>
      <c r="X184" t="str">
        <f>IF(Table1[[#This Row],[Sales]]&gt;=30000,"High Value",IF(Table1[[#This Row],[Sales]]&gt;=15000,"Medium Value","Low Value"))</f>
        <v>Low Value</v>
      </c>
      <c r="Y184" t="str">
        <f>IF(Table1[[#This Row],[Quantity]]&gt;=3,"Bulk Order","Regular Order")</f>
        <v>Regular Order</v>
      </c>
      <c r="Z184" t="str">
        <f>TEXT(Table1[[#This Row],[Order Date]],"dddd")</f>
        <v>Monday</v>
      </c>
    </row>
    <row r="185" spans="1:26" ht="14.4" x14ac:dyDescent="0.3">
      <c r="A185" t="s">
        <v>605</v>
      </c>
      <c r="B185" t="s">
        <v>606</v>
      </c>
      <c r="C185" s="2">
        <v>46170</v>
      </c>
      <c r="D185" t="s">
        <v>28</v>
      </c>
      <c r="E185" t="s">
        <v>55</v>
      </c>
      <c r="F185" t="s">
        <v>607</v>
      </c>
      <c r="G185" t="s">
        <v>245</v>
      </c>
      <c r="H185" t="s">
        <v>46</v>
      </c>
      <c r="I185" t="s">
        <v>33</v>
      </c>
      <c r="J185" t="s">
        <v>34</v>
      </c>
      <c r="K185" t="s">
        <v>35</v>
      </c>
      <c r="L185" t="s">
        <v>36</v>
      </c>
      <c r="M185">
        <v>1</v>
      </c>
      <c r="N185">
        <v>13147</v>
      </c>
      <c r="O185" s="2">
        <v>5</v>
      </c>
      <c r="P185" s="2">
        <v>12489.65</v>
      </c>
      <c r="Q185" s="2">
        <v>10058.549999999999</v>
      </c>
      <c r="R185" s="2">
        <v>2431.1</v>
      </c>
      <c r="S185" t="s">
        <v>50</v>
      </c>
      <c r="T185">
        <v>4</v>
      </c>
      <c r="U185" t="s">
        <v>51</v>
      </c>
      <c r="V185" t="s">
        <v>75</v>
      </c>
      <c r="W185" s="3">
        <f>Table1[[#This Row],[Profit]]/Table1[[#This Row],[Sales]]</f>
        <v>0.19464916951235622</v>
      </c>
      <c r="X185" t="str">
        <f>IF(Table1[[#This Row],[Sales]]&gt;=30000,"High Value",IF(Table1[[#This Row],[Sales]]&gt;=15000,"Medium Value","Low Value"))</f>
        <v>Low Value</v>
      </c>
      <c r="Y185" t="str">
        <f>IF(Table1[[#This Row],[Quantity]]&gt;=3,"Bulk Order","Regular Order")</f>
        <v>Regular Order</v>
      </c>
      <c r="Z185" t="str">
        <f>TEXT(Table1[[#This Row],[Order Date]],"dddd")</f>
        <v>Thursday</v>
      </c>
    </row>
    <row r="186" spans="1:26" ht="14.4" x14ac:dyDescent="0.3">
      <c r="A186" t="s">
        <v>608</v>
      </c>
      <c r="B186" t="s">
        <v>609</v>
      </c>
      <c r="C186" s="2">
        <v>46187</v>
      </c>
      <c r="D186" t="s">
        <v>42</v>
      </c>
      <c r="E186" t="s">
        <v>78</v>
      </c>
      <c r="F186" t="s">
        <v>610</v>
      </c>
      <c r="G186" t="s">
        <v>611</v>
      </c>
      <c r="H186" t="s">
        <v>46</v>
      </c>
      <c r="I186" t="s">
        <v>33</v>
      </c>
      <c r="J186" t="s">
        <v>59</v>
      </c>
      <c r="K186" t="s">
        <v>60</v>
      </c>
      <c r="L186" t="s">
        <v>61</v>
      </c>
      <c r="M186">
        <v>1</v>
      </c>
      <c r="N186">
        <v>17950</v>
      </c>
      <c r="O186" s="2">
        <v>0</v>
      </c>
      <c r="P186" s="2">
        <v>17950</v>
      </c>
      <c r="Q186" s="2">
        <v>14632.55</v>
      </c>
      <c r="R186" s="2">
        <v>3317.45</v>
      </c>
      <c r="S186" t="s">
        <v>50</v>
      </c>
      <c r="T186">
        <v>5</v>
      </c>
      <c r="U186" t="s">
        <v>51</v>
      </c>
      <c r="V186" t="s">
        <v>116</v>
      </c>
      <c r="W186" s="3">
        <f>Table1[[#This Row],[Profit]]/Table1[[#This Row],[Sales]]</f>
        <v>0.18481615598885792</v>
      </c>
      <c r="X186" t="str">
        <f>IF(Table1[[#This Row],[Sales]]&gt;=30000,"High Value",IF(Table1[[#This Row],[Sales]]&gt;=15000,"Medium Value","Low Value"))</f>
        <v>Medium Value</v>
      </c>
      <c r="Y186" t="str">
        <f>IF(Table1[[#This Row],[Quantity]]&gt;=3,"Bulk Order","Regular Order")</f>
        <v>Regular Order</v>
      </c>
      <c r="Z186" t="str">
        <f>TEXT(Table1[[#This Row],[Order Date]],"dddd")</f>
        <v>Sunday</v>
      </c>
    </row>
    <row r="187" spans="1:26" ht="14.4" x14ac:dyDescent="0.3">
      <c r="A187" t="s">
        <v>612</v>
      </c>
      <c r="B187" t="s">
        <v>613</v>
      </c>
      <c r="C187" s="2">
        <v>46175</v>
      </c>
      <c r="D187" t="s">
        <v>42</v>
      </c>
      <c r="E187" t="s">
        <v>78</v>
      </c>
      <c r="F187" t="s">
        <v>614</v>
      </c>
      <c r="G187" t="s">
        <v>235</v>
      </c>
      <c r="H187" t="s">
        <v>46</v>
      </c>
      <c r="I187" t="s">
        <v>33</v>
      </c>
      <c r="J187" t="s">
        <v>149</v>
      </c>
      <c r="K187" t="s">
        <v>150</v>
      </c>
      <c r="L187" t="s">
        <v>151</v>
      </c>
      <c r="M187">
        <v>2</v>
      </c>
      <c r="N187">
        <v>3675</v>
      </c>
      <c r="O187" s="2">
        <v>0</v>
      </c>
      <c r="P187" s="2">
        <v>7350</v>
      </c>
      <c r="Q187" s="2">
        <v>5561.21</v>
      </c>
      <c r="R187" s="2">
        <v>1788.79</v>
      </c>
      <c r="S187" t="s">
        <v>50</v>
      </c>
      <c r="T187">
        <v>4</v>
      </c>
      <c r="U187" t="s">
        <v>51</v>
      </c>
      <c r="V187" t="s">
        <v>63</v>
      </c>
      <c r="W187" s="3">
        <f>Table1[[#This Row],[Profit]]/Table1[[#This Row],[Sales]]</f>
        <v>0.24337278911564625</v>
      </c>
      <c r="X187" t="str">
        <f>IF(Table1[[#This Row],[Sales]]&gt;=30000,"High Value",IF(Table1[[#This Row],[Sales]]&gt;=15000,"Medium Value","Low Value"))</f>
        <v>Low Value</v>
      </c>
      <c r="Y187" t="str">
        <f>IF(Table1[[#This Row],[Quantity]]&gt;=3,"Bulk Order","Regular Order")</f>
        <v>Regular Order</v>
      </c>
      <c r="Z187" t="str">
        <f>TEXT(Table1[[#This Row],[Order Date]],"dddd")</f>
        <v>Tuesday</v>
      </c>
    </row>
    <row r="188" spans="1:26" ht="14.4" x14ac:dyDescent="0.3">
      <c r="A188" t="s">
        <v>615</v>
      </c>
      <c r="B188" t="s">
        <v>616</v>
      </c>
      <c r="C188" s="2">
        <v>46174</v>
      </c>
      <c r="D188" t="s">
        <v>42</v>
      </c>
      <c r="E188" t="s">
        <v>55</v>
      </c>
      <c r="F188" t="s">
        <v>617</v>
      </c>
      <c r="G188" t="s">
        <v>198</v>
      </c>
      <c r="H188" t="s">
        <v>32</v>
      </c>
      <c r="I188" t="s">
        <v>58</v>
      </c>
      <c r="J188" t="s">
        <v>59</v>
      </c>
      <c r="K188" t="s">
        <v>60</v>
      </c>
      <c r="L188" t="s">
        <v>61</v>
      </c>
      <c r="M188">
        <v>4</v>
      </c>
      <c r="N188">
        <v>16200</v>
      </c>
      <c r="O188" s="2">
        <v>0</v>
      </c>
      <c r="P188" s="2">
        <v>64800</v>
      </c>
      <c r="Q188" s="2">
        <v>52447.28</v>
      </c>
      <c r="R188" s="2">
        <v>12352.72</v>
      </c>
      <c r="S188" t="s">
        <v>37</v>
      </c>
      <c r="T188">
        <v>5</v>
      </c>
      <c r="U188" t="s">
        <v>51</v>
      </c>
      <c r="V188" t="s">
        <v>116</v>
      </c>
      <c r="W188" s="3">
        <f>Table1[[#This Row],[Profit]]/Table1[[#This Row],[Sales]]</f>
        <v>0.19062839506172838</v>
      </c>
      <c r="X188" t="str">
        <f>IF(Table1[[#This Row],[Sales]]&gt;=30000,"High Value",IF(Table1[[#This Row],[Sales]]&gt;=15000,"Medium Value","Low Value"))</f>
        <v>High Value</v>
      </c>
      <c r="Y188" t="str">
        <f>IF(Table1[[#This Row],[Quantity]]&gt;=3,"Bulk Order","Regular Order")</f>
        <v>Bulk Order</v>
      </c>
      <c r="Z188" t="str">
        <f>TEXT(Table1[[#This Row],[Order Date]],"dddd")</f>
        <v>Monday</v>
      </c>
    </row>
    <row r="189" spans="1:26" ht="14.4" x14ac:dyDescent="0.3">
      <c r="A189" t="s">
        <v>618</v>
      </c>
      <c r="B189" t="s">
        <v>619</v>
      </c>
      <c r="C189" s="2">
        <v>46202</v>
      </c>
      <c r="D189" t="s">
        <v>42</v>
      </c>
      <c r="E189" t="s">
        <v>29</v>
      </c>
      <c r="F189" t="s">
        <v>620</v>
      </c>
      <c r="G189" t="s">
        <v>611</v>
      </c>
      <c r="H189" t="s">
        <v>46</v>
      </c>
      <c r="I189" t="s">
        <v>58</v>
      </c>
      <c r="J189" t="s">
        <v>59</v>
      </c>
      <c r="K189" t="s">
        <v>95</v>
      </c>
      <c r="L189" t="s">
        <v>36</v>
      </c>
      <c r="M189">
        <v>5</v>
      </c>
      <c r="N189">
        <v>14994</v>
      </c>
      <c r="O189" s="2">
        <v>15</v>
      </c>
      <c r="P189" s="2">
        <v>63724.5</v>
      </c>
      <c r="Q189" s="2">
        <v>50499.24</v>
      </c>
      <c r="R189" s="2">
        <v>13225.26</v>
      </c>
      <c r="S189" t="s">
        <v>62</v>
      </c>
      <c r="T189">
        <v>3</v>
      </c>
      <c r="U189" t="s">
        <v>51</v>
      </c>
      <c r="V189" t="s">
        <v>63</v>
      </c>
      <c r="W189" s="3">
        <f>Table1[[#This Row],[Profit]]/Table1[[#This Row],[Sales]]</f>
        <v>0.20753807405315067</v>
      </c>
      <c r="X189" t="str">
        <f>IF(Table1[[#This Row],[Sales]]&gt;=30000,"High Value",IF(Table1[[#This Row],[Sales]]&gt;=15000,"Medium Value","Low Value"))</f>
        <v>High Value</v>
      </c>
      <c r="Y189" t="str">
        <f>IF(Table1[[#This Row],[Quantity]]&gt;=3,"Bulk Order","Regular Order")</f>
        <v>Bulk Order</v>
      </c>
      <c r="Z189" t="str">
        <f>TEXT(Table1[[#This Row],[Order Date]],"dddd")</f>
        <v>Monday</v>
      </c>
    </row>
    <row r="190" spans="1:26" ht="14.4" x14ac:dyDescent="0.3">
      <c r="A190" t="s">
        <v>621</v>
      </c>
      <c r="B190" t="s">
        <v>622</v>
      </c>
      <c r="C190" s="2">
        <v>46179</v>
      </c>
      <c r="D190" t="s">
        <v>42</v>
      </c>
      <c r="E190" t="s">
        <v>55</v>
      </c>
      <c r="F190" t="s">
        <v>448</v>
      </c>
      <c r="G190" t="s">
        <v>311</v>
      </c>
      <c r="H190" t="s">
        <v>46</v>
      </c>
      <c r="I190" t="s">
        <v>33</v>
      </c>
      <c r="J190" t="s">
        <v>59</v>
      </c>
      <c r="K190" t="s">
        <v>60</v>
      </c>
      <c r="L190" t="s">
        <v>61</v>
      </c>
      <c r="M190">
        <v>2</v>
      </c>
      <c r="N190">
        <v>17465</v>
      </c>
      <c r="O190" s="2">
        <v>0</v>
      </c>
      <c r="P190" s="2">
        <v>34930</v>
      </c>
      <c r="Q190" s="2">
        <v>27862.94</v>
      </c>
      <c r="R190" s="2">
        <v>7067.06</v>
      </c>
      <c r="S190" t="s">
        <v>81</v>
      </c>
      <c r="T190">
        <v>5</v>
      </c>
      <c r="U190" t="s">
        <v>51</v>
      </c>
      <c r="V190" t="s">
        <v>52</v>
      </c>
      <c r="W190" s="3">
        <f>Table1[[#This Row],[Profit]]/Table1[[#This Row],[Sales]]</f>
        <v>0.20232064128256513</v>
      </c>
      <c r="X190" t="str">
        <f>IF(Table1[[#This Row],[Sales]]&gt;=30000,"High Value",IF(Table1[[#This Row],[Sales]]&gt;=15000,"Medium Value","Low Value"))</f>
        <v>High Value</v>
      </c>
      <c r="Y190" t="str">
        <f>IF(Table1[[#This Row],[Quantity]]&gt;=3,"Bulk Order","Regular Order")</f>
        <v>Regular Order</v>
      </c>
      <c r="Z190" t="str">
        <f>TEXT(Table1[[#This Row],[Order Date]],"dddd")</f>
        <v>Saturday</v>
      </c>
    </row>
    <row r="191" spans="1:26" ht="14.4" x14ac:dyDescent="0.3">
      <c r="A191" t="s">
        <v>623</v>
      </c>
      <c r="B191" t="s">
        <v>624</v>
      </c>
      <c r="C191" s="2">
        <v>46159</v>
      </c>
      <c r="D191" t="s">
        <v>28</v>
      </c>
      <c r="E191" t="s">
        <v>55</v>
      </c>
      <c r="F191" t="s">
        <v>366</v>
      </c>
      <c r="G191" t="s">
        <v>99</v>
      </c>
      <c r="H191" t="s">
        <v>46</v>
      </c>
      <c r="I191" t="s">
        <v>33</v>
      </c>
      <c r="J191" t="s">
        <v>169</v>
      </c>
      <c r="K191" t="s">
        <v>170</v>
      </c>
      <c r="L191" t="s">
        <v>171</v>
      </c>
      <c r="M191">
        <v>2</v>
      </c>
      <c r="N191">
        <v>11385</v>
      </c>
      <c r="O191" s="2">
        <v>10</v>
      </c>
      <c r="P191" s="2">
        <v>20493</v>
      </c>
      <c r="Q191" s="2">
        <v>16642.3</v>
      </c>
      <c r="R191" s="2">
        <v>3850.7</v>
      </c>
      <c r="S191" t="s">
        <v>37</v>
      </c>
      <c r="T191">
        <v>5</v>
      </c>
      <c r="U191" t="s">
        <v>51</v>
      </c>
      <c r="V191" t="s">
        <v>52</v>
      </c>
      <c r="W191" s="3">
        <f>Table1[[#This Row],[Profit]]/Table1[[#This Row],[Sales]]</f>
        <v>0.18790318645391108</v>
      </c>
      <c r="X191" t="str">
        <f>IF(Table1[[#This Row],[Sales]]&gt;=30000,"High Value",IF(Table1[[#This Row],[Sales]]&gt;=15000,"Medium Value","Low Value"))</f>
        <v>Medium Value</v>
      </c>
      <c r="Y191" t="str">
        <f>IF(Table1[[#This Row],[Quantity]]&gt;=3,"Bulk Order","Regular Order")</f>
        <v>Regular Order</v>
      </c>
      <c r="Z191" t="str">
        <f>TEXT(Table1[[#This Row],[Order Date]],"dddd")</f>
        <v>Sunday</v>
      </c>
    </row>
    <row r="192" spans="1:26" ht="14.4" x14ac:dyDescent="0.3">
      <c r="A192" t="s">
        <v>625</v>
      </c>
      <c r="B192" t="s">
        <v>626</v>
      </c>
      <c r="C192" s="2">
        <v>46195</v>
      </c>
      <c r="D192" t="s">
        <v>42</v>
      </c>
      <c r="E192" t="s">
        <v>43</v>
      </c>
      <c r="F192" t="s">
        <v>595</v>
      </c>
      <c r="G192" t="s">
        <v>141</v>
      </c>
      <c r="H192" t="s">
        <v>46</v>
      </c>
      <c r="I192" t="s">
        <v>33</v>
      </c>
      <c r="J192" t="s">
        <v>59</v>
      </c>
      <c r="K192" t="s">
        <v>60</v>
      </c>
      <c r="L192" t="s">
        <v>61</v>
      </c>
      <c r="M192">
        <v>1</v>
      </c>
      <c r="N192">
        <v>17943</v>
      </c>
      <c r="O192" s="2">
        <v>0</v>
      </c>
      <c r="P192" s="2">
        <v>17943</v>
      </c>
      <c r="Q192" s="2">
        <v>14274.37</v>
      </c>
      <c r="R192" s="2">
        <v>3668.63</v>
      </c>
      <c r="S192" t="s">
        <v>37</v>
      </c>
      <c r="T192">
        <v>5</v>
      </c>
      <c r="U192" t="s">
        <v>51</v>
      </c>
      <c r="V192" t="s">
        <v>86</v>
      </c>
      <c r="W192" s="3">
        <f>Table1[[#This Row],[Profit]]/Table1[[#This Row],[Sales]]</f>
        <v>0.20446023518921028</v>
      </c>
      <c r="X192" t="str">
        <f>IF(Table1[[#This Row],[Sales]]&gt;=30000,"High Value",IF(Table1[[#This Row],[Sales]]&gt;=15000,"Medium Value","Low Value"))</f>
        <v>Medium Value</v>
      </c>
      <c r="Y192" t="str">
        <f>IF(Table1[[#This Row],[Quantity]]&gt;=3,"Bulk Order","Regular Order")</f>
        <v>Regular Order</v>
      </c>
      <c r="Z192" t="str">
        <f>TEXT(Table1[[#This Row],[Order Date]],"dddd")</f>
        <v>Monday</v>
      </c>
    </row>
    <row r="193" spans="1:26" ht="14.4" x14ac:dyDescent="0.3">
      <c r="A193" t="s">
        <v>627</v>
      </c>
      <c r="B193" t="s">
        <v>628</v>
      </c>
      <c r="C193" s="2">
        <v>46199</v>
      </c>
      <c r="D193" t="s">
        <v>42</v>
      </c>
      <c r="E193" t="s">
        <v>133</v>
      </c>
      <c r="F193" t="s">
        <v>503</v>
      </c>
      <c r="G193" t="s">
        <v>99</v>
      </c>
      <c r="H193" t="s">
        <v>46</v>
      </c>
      <c r="I193" t="s">
        <v>33</v>
      </c>
      <c r="J193" t="s">
        <v>47</v>
      </c>
      <c r="K193" t="s">
        <v>48</v>
      </c>
      <c r="L193" t="s">
        <v>49</v>
      </c>
      <c r="M193">
        <v>2</v>
      </c>
      <c r="N193">
        <v>7696</v>
      </c>
      <c r="O193" s="2">
        <v>0</v>
      </c>
      <c r="P193" s="2">
        <v>15392</v>
      </c>
      <c r="Q193" s="2">
        <v>12490.13</v>
      </c>
      <c r="R193" s="2">
        <v>2901.87</v>
      </c>
      <c r="S193" t="s">
        <v>50</v>
      </c>
      <c r="T193">
        <v>4</v>
      </c>
      <c r="U193" t="s">
        <v>51</v>
      </c>
      <c r="V193" t="s">
        <v>63</v>
      </c>
      <c r="W193" s="3">
        <f>Table1[[#This Row],[Profit]]/Table1[[#This Row],[Sales]]</f>
        <v>0.18853105509355508</v>
      </c>
      <c r="X193" t="str">
        <f>IF(Table1[[#This Row],[Sales]]&gt;=30000,"High Value",IF(Table1[[#This Row],[Sales]]&gt;=15000,"Medium Value","Low Value"))</f>
        <v>Medium Value</v>
      </c>
      <c r="Y193" t="str">
        <f>IF(Table1[[#This Row],[Quantity]]&gt;=3,"Bulk Order","Regular Order")</f>
        <v>Regular Order</v>
      </c>
      <c r="Z193" t="str">
        <f>TEXT(Table1[[#This Row],[Order Date]],"dddd")</f>
        <v>Friday</v>
      </c>
    </row>
    <row r="194" spans="1:26" ht="14.4" x14ac:dyDescent="0.3">
      <c r="A194" t="s">
        <v>629</v>
      </c>
      <c r="B194" t="s">
        <v>630</v>
      </c>
      <c r="C194" s="2">
        <v>46180</v>
      </c>
      <c r="D194" t="s">
        <v>42</v>
      </c>
      <c r="E194" t="s">
        <v>55</v>
      </c>
      <c r="F194" t="s">
        <v>477</v>
      </c>
      <c r="G194" t="s">
        <v>218</v>
      </c>
      <c r="H194" t="s">
        <v>46</v>
      </c>
      <c r="I194" t="s">
        <v>33</v>
      </c>
      <c r="J194" t="s">
        <v>59</v>
      </c>
      <c r="K194" t="s">
        <v>60</v>
      </c>
      <c r="L194" t="s">
        <v>61</v>
      </c>
      <c r="M194">
        <v>2</v>
      </c>
      <c r="N194">
        <v>15719</v>
      </c>
      <c r="O194" s="2">
        <v>5</v>
      </c>
      <c r="P194" s="2">
        <v>29866.1</v>
      </c>
      <c r="Q194" s="2">
        <v>23445.51</v>
      </c>
      <c r="R194" s="2">
        <v>6420.59</v>
      </c>
      <c r="S194" t="s">
        <v>37</v>
      </c>
      <c r="T194">
        <v>4</v>
      </c>
      <c r="U194" t="s">
        <v>51</v>
      </c>
      <c r="V194" t="s">
        <v>86</v>
      </c>
      <c r="W194" s="3">
        <f>Table1[[#This Row],[Profit]]/Table1[[#This Row],[Sales]]</f>
        <v>0.21497919045339031</v>
      </c>
      <c r="X194" t="str">
        <f>IF(Table1[[#This Row],[Sales]]&gt;=30000,"High Value",IF(Table1[[#This Row],[Sales]]&gt;=15000,"Medium Value","Low Value"))</f>
        <v>Medium Value</v>
      </c>
      <c r="Y194" t="str">
        <f>IF(Table1[[#This Row],[Quantity]]&gt;=3,"Bulk Order","Regular Order")</f>
        <v>Regular Order</v>
      </c>
      <c r="Z194" t="str">
        <f>TEXT(Table1[[#This Row],[Order Date]],"dddd")</f>
        <v>Sunday</v>
      </c>
    </row>
    <row r="195" spans="1:26" ht="14.4" x14ac:dyDescent="0.3">
      <c r="A195" t="s">
        <v>631</v>
      </c>
      <c r="B195" t="s">
        <v>632</v>
      </c>
      <c r="C195" s="2">
        <v>46191</v>
      </c>
      <c r="D195" t="s">
        <v>42</v>
      </c>
      <c r="E195" t="s">
        <v>55</v>
      </c>
      <c r="F195" t="s">
        <v>584</v>
      </c>
      <c r="G195" t="s">
        <v>611</v>
      </c>
      <c r="H195" t="s">
        <v>46</v>
      </c>
      <c r="I195" t="s">
        <v>58</v>
      </c>
      <c r="J195" t="s">
        <v>59</v>
      </c>
      <c r="K195" t="s">
        <v>95</v>
      </c>
      <c r="L195" t="s">
        <v>36</v>
      </c>
      <c r="M195">
        <v>3</v>
      </c>
      <c r="N195">
        <v>15761</v>
      </c>
      <c r="O195" s="2">
        <v>15</v>
      </c>
      <c r="P195" s="2">
        <v>40190.550000000003</v>
      </c>
      <c r="Q195" s="2">
        <v>31713.43</v>
      </c>
      <c r="R195" s="2">
        <v>8477.1200000000008</v>
      </c>
      <c r="S195" t="s">
        <v>37</v>
      </c>
      <c r="T195">
        <v>4</v>
      </c>
      <c r="U195" t="s">
        <v>51</v>
      </c>
      <c r="V195" t="s">
        <v>52</v>
      </c>
      <c r="W195" s="3">
        <f>Table1[[#This Row],[Profit]]/Table1[[#This Row],[Sales]]</f>
        <v>0.21092321453675056</v>
      </c>
      <c r="X195" t="str">
        <f>IF(Table1[[#This Row],[Sales]]&gt;=30000,"High Value",IF(Table1[[#This Row],[Sales]]&gt;=15000,"Medium Value","Low Value"))</f>
        <v>High Value</v>
      </c>
      <c r="Y195" t="str">
        <f>IF(Table1[[#This Row],[Quantity]]&gt;=3,"Bulk Order","Regular Order")</f>
        <v>Bulk Order</v>
      </c>
      <c r="Z195" t="str">
        <f>TEXT(Table1[[#This Row],[Order Date]],"dddd")</f>
        <v>Thursday</v>
      </c>
    </row>
    <row r="196" spans="1:26" ht="14.4" x14ac:dyDescent="0.3">
      <c r="A196" t="s">
        <v>633</v>
      </c>
      <c r="B196" t="s">
        <v>634</v>
      </c>
      <c r="C196" s="2">
        <v>46155</v>
      </c>
      <c r="D196" t="s">
        <v>28</v>
      </c>
      <c r="E196" t="s">
        <v>43</v>
      </c>
      <c r="F196" t="s">
        <v>635</v>
      </c>
      <c r="G196" t="s">
        <v>138</v>
      </c>
      <c r="H196" t="s">
        <v>32</v>
      </c>
      <c r="I196" t="s">
        <v>33</v>
      </c>
      <c r="J196" t="s">
        <v>47</v>
      </c>
      <c r="K196" t="s">
        <v>48</v>
      </c>
      <c r="L196" t="s">
        <v>49</v>
      </c>
      <c r="M196">
        <v>2</v>
      </c>
      <c r="N196">
        <v>7082</v>
      </c>
      <c r="O196" s="2">
        <v>5</v>
      </c>
      <c r="P196" s="2">
        <v>13455.8</v>
      </c>
      <c r="Q196" s="2">
        <v>10709.46</v>
      </c>
      <c r="R196" s="2">
        <v>2746.34</v>
      </c>
      <c r="S196" t="s">
        <v>81</v>
      </c>
      <c r="T196">
        <v>5</v>
      </c>
      <c r="U196" t="s">
        <v>51</v>
      </c>
      <c r="V196" t="s">
        <v>86</v>
      </c>
      <c r="W196" s="3">
        <f>Table1[[#This Row],[Profit]]/Table1[[#This Row],[Sales]]</f>
        <v>0.20410083384116889</v>
      </c>
      <c r="X196" t="str">
        <f>IF(Table1[[#This Row],[Sales]]&gt;=30000,"High Value",IF(Table1[[#This Row],[Sales]]&gt;=15000,"Medium Value","Low Value"))</f>
        <v>Low Value</v>
      </c>
      <c r="Y196" t="str">
        <f>IF(Table1[[#This Row],[Quantity]]&gt;=3,"Bulk Order","Regular Order")</f>
        <v>Regular Order</v>
      </c>
      <c r="Z196" t="str">
        <f>TEXT(Table1[[#This Row],[Order Date]],"dddd")</f>
        <v>Wednesday</v>
      </c>
    </row>
    <row r="197" spans="1:26" ht="14.4" x14ac:dyDescent="0.3">
      <c r="A197" t="s">
        <v>636</v>
      </c>
      <c r="B197" t="s">
        <v>637</v>
      </c>
      <c r="C197" s="2">
        <v>46143</v>
      </c>
      <c r="D197" t="s">
        <v>28</v>
      </c>
      <c r="E197" t="s">
        <v>102</v>
      </c>
      <c r="F197" t="s">
        <v>620</v>
      </c>
      <c r="G197" t="s">
        <v>99</v>
      </c>
      <c r="H197" t="s">
        <v>46</v>
      </c>
      <c r="I197" t="s">
        <v>33</v>
      </c>
      <c r="J197" t="s">
        <v>59</v>
      </c>
      <c r="K197" t="s">
        <v>60</v>
      </c>
      <c r="L197" t="s">
        <v>61</v>
      </c>
      <c r="M197">
        <v>1</v>
      </c>
      <c r="N197">
        <v>17783</v>
      </c>
      <c r="O197" s="2">
        <v>0</v>
      </c>
      <c r="P197" s="2">
        <v>17783</v>
      </c>
      <c r="Q197" s="2">
        <v>14355.28</v>
      </c>
      <c r="R197" s="2">
        <v>3427.72</v>
      </c>
      <c r="S197" t="s">
        <v>37</v>
      </c>
      <c r="T197">
        <v>5</v>
      </c>
      <c r="U197" t="s">
        <v>51</v>
      </c>
      <c r="V197" t="s">
        <v>52</v>
      </c>
      <c r="W197" s="3">
        <f>Table1[[#This Row],[Profit]]/Table1[[#This Row],[Sales]]</f>
        <v>0.19275262891525613</v>
      </c>
      <c r="X197" t="str">
        <f>IF(Table1[[#This Row],[Sales]]&gt;=30000,"High Value",IF(Table1[[#This Row],[Sales]]&gt;=15000,"Medium Value","Low Value"))</f>
        <v>Medium Value</v>
      </c>
      <c r="Y197" t="str">
        <f>IF(Table1[[#This Row],[Quantity]]&gt;=3,"Bulk Order","Regular Order")</f>
        <v>Regular Order</v>
      </c>
      <c r="Z197" t="str">
        <f>TEXT(Table1[[#This Row],[Order Date]],"dddd")</f>
        <v>Friday</v>
      </c>
    </row>
    <row r="198" spans="1:26" ht="14.4" x14ac:dyDescent="0.3">
      <c r="A198" t="s">
        <v>638</v>
      </c>
      <c r="B198" t="s">
        <v>639</v>
      </c>
      <c r="C198" s="2">
        <v>46194</v>
      </c>
      <c r="D198" t="s">
        <v>42</v>
      </c>
      <c r="E198" t="s">
        <v>78</v>
      </c>
      <c r="F198" t="s">
        <v>595</v>
      </c>
      <c r="G198" t="s">
        <v>134</v>
      </c>
      <c r="H198" t="s">
        <v>46</v>
      </c>
      <c r="I198" t="s">
        <v>33</v>
      </c>
      <c r="J198" t="s">
        <v>59</v>
      </c>
      <c r="K198" t="s">
        <v>95</v>
      </c>
      <c r="L198" t="s">
        <v>36</v>
      </c>
      <c r="M198">
        <v>1</v>
      </c>
      <c r="N198">
        <v>14859</v>
      </c>
      <c r="O198" s="2">
        <v>0</v>
      </c>
      <c r="P198" s="2">
        <v>14859</v>
      </c>
      <c r="Q198" s="2">
        <v>11602.73</v>
      </c>
      <c r="R198" s="2">
        <v>3256.27</v>
      </c>
      <c r="S198" t="s">
        <v>81</v>
      </c>
      <c r="T198">
        <v>4</v>
      </c>
      <c r="U198" t="s">
        <v>51</v>
      </c>
      <c r="V198" t="s">
        <v>116</v>
      </c>
      <c r="W198" s="3">
        <f>Table1[[#This Row],[Profit]]/Table1[[#This Row],[Sales]]</f>
        <v>0.21914462615250016</v>
      </c>
      <c r="X198" t="str">
        <f>IF(Table1[[#This Row],[Sales]]&gt;=30000,"High Value",IF(Table1[[#This Row],[Sales]]&gt;=15000,"Medium Value","Low Value"))</f>
        <v>Low Value</v>
      </c>
      <c r="Y198" t="str">
        <f>IF(Table1[[#This Row],[Quantity]]&gt;=3,"Bulk Order","Regular Order")</f>
        <v>Regular Order</v>
      </c>
      <c r="Z198" t="str">
        <f>TEXT(Table1[[#This Row],[Order Date]],"dddd")</f>
        <v>Sunday</v>
      </c>
    </row>
    <row r="199" spans="1:26" ht="14.4" x14ac:dyDescent="0.3">
      <c r="A199" t="s">
        <v>640</v>
      </c>
      <c r="B199" t="s">
        <v>641</v>
      </c>
      <c r="C199" s="2">
        <v>46162</v>
      </c>
      <c r="D199" t="s">
        <v>28</v>
      </c>
      <c r="E199" t="s">
        <v>55</v>
      </c>
      <c r="F199" t="s">
        <v>472</v>
      </c>
      <c r="G199" t="s">
        <v>523</v>
      </c>
      <c r="H199" t="s">
        <v>46</v>
      </c>
      <c r="I199" t="s">
        <v>58</v>
      </c>
      <c r="J199" t="s">
        <v>47</v>
      </c>
      <c r="K199" t="s">
        <v>69</v>
      </c>
      <c r="L199" t="s">
        <v>70</v>
      </c>
      <c r="M199">
        <v>3</v>
      </c>
      <c r="N199">
        <v>8819</v>
      </c>
      <c r="O199" s="2">
        <v>5</v>
      </c>
      <c r="P199" s="2">
        <v>25134.15</v>
      </c>
      <c r="Q199" s="2">
        <v>19950.02</v>
      </c>
      <c r="R199" s="2">
        <v>5184.13</v>
      </c>
      <c r="S199" t="s">
        <v>50</v>
      </c>
      <c r="T199">
        <v>4</v>
      </c>
      <c r="U199" t="s">
        <v>51</v>
      </c>
      <c r="V199" t="s">
        <v>116</v>
      </c>
      <c r="W199" s="3">
        <f>Table1[[#This Row],[Profit]]/Table1[[#This Row],[Sales]]</f>
        <v>0.20625841733259329</v>
      </c>
      <c r="X199" t="str">
        <f>IF(Table1[[#This Row],[Sales]]&gt;=30000,"High Value",IF(Table1[[#This Row],[Sales]]&gt;=15000,"Medium Value","Low Value"))</f>
        <v>Medium Value</v>
      </c>
      <c r="Y199" t="str">
        <f>IF(Table1[[#This Row],[Quantity]]&gt;=3,"Bulk Order","Regular Order")</f>
        <v>Bulk Order</v>
      </c>
      <c r="Z199" t="str">
        <f>TEXT(Table1[[#This Row],[Order Date]],"dddd")</f>
        <v>Wednesday</v>
      </c>
    </row>
    <row r="200" spans="1:26" ht="14.4" x14ac:dyDescent="0.3">
      <c r="A200" t="s">
        <v>642</v>
      </c>
      <c r="B200" t="s">
        <v>643</v>
      </c>
      <c r="C200" s="2">
        <v>46171</v>
      </c>
      <c r="D200" t="s">
        <v>28</v>
      </c>
      <c r="E200" t="s">
        <v>55</v>
      </c>
      <c r="F200" t="s">
        <v>506</v>
      </c>
      <c r="G200" t="s">
        <v>68</v>
      </c>
      <c r="H200" t="s">
        <v>32</v>
      </c>
      <c r="I200" t="s">
        <v>58</v>
      </c>
      <c r="J200" t="s">
        <v>59</v>
      </c>
      <c r="K200" t="s">
        <v>95</v>
      </c>
      <c r="L200" t="s">
        <v>36</v>
      </c>
      <c r="M200">
        <v>3</v>
      </c>
      <c r="N200">
        <v>16721</v>
      </c>
      <c r="O200" s="2">
        <v>5</v>
      </c>
      <c r="P200" s="2">
        <v>47654.85</v>
      </c>
      <c r="Q200" s="2">
        <v>38032.78</v>
      </c>
      <c r="R200" s="2">
        <v>9622.07</v>
      </c>
      <c r="S200" t="s">
        <v>81</v>
      </c>
      <c r="T200">
        <v>5</v>
      </c>
      <c r="U200" t="s">
        <v>38</v>
      </c>
      <c r="V200" t="s">
        <v>52</v>
      </c>
      <c r="W200" s="3">
        <f>Table1[[#This Row],[Profit]]/Table1[[#This Row],[Sales]]</f>
        <v>0.20191166271638669</v>
      </c>
      <c r="X200" t="str">
        <f>IF(Table1[[#This Row],[Sales]]&gt;=30000,"High Value",IF(Table1[[#This Row],[Sales]]&gt;=15000,"Medium Value","Low Value"))</f>
        <v>High Value</v>
      </c>
      <c r="Y200" t="str">
        <f>IF(Table1[[#This Row],[Quantity]]&gt;=3,"Bulk Order","Regular Order")</f>
        <v>Bulk Order</v>
      </c>
      <c r="Z200" t="str">
        <f>TEXT(Table1[[#This Row],[Order Date]],"dddd")</f>
        <v>Friday</v>
      </c>
    </row>
    <row r="201" spans="1:26" ht="14.4" x14ac:dyDescent="0.3">
      <c r="A201" t="s">
        <v>644</v>
      </c>
      <c r="B201" t="s">
        <v>645</v>
      </c>
      <c r="C201" s="2">
        <v>46172</v>
      </c>
      <c r="D201" t="s">
        <v>28</v>
      </c>
      <c r="E201" t="s">
        <v>29</v>
      </c>
      <c r="F201" t="s">
        <v>646</v>
      </c>
      <c r="G201" t="s">
        <v>80</v>
      </c>
      <c r="H201" t="s">
        <v>46</v>
      </c>
      <c r="I201" t="s">
        <v>33</v>
      </c>
      <c r="J201" t="s">
        <v>47</v>
      </c>
      <c r="K201" t="s">
        <v>48</v>
      </c>
      <c r="L201" t="s">
        <v>49</v>
      </c>
      <c r="M201">
        <v>2</v>
      </c>
      <c r="N201">
        <v>8740</v>
      </c>
      <c r="O201" s="2">
        <v>0</v>
      </c>
      <c r="P201" s="2">
        <v>17480</v>
      </c>
      <c r="Q201" s="2">
        <v>13697.6</v>
      </c>
      <c r="R201" s="2">
        <v>3782.4</v>
      </c>
      <c r="S201" t="s">
        <v>50</v>
      </c>
      <c r="T201">
        <v>5</v>
      </c>
      <c r="U201" t="s">
        <v>51</v>
      </c>
      <c r="V201" t="s">
        <v>75</v>
      </c>
      <c r="W201" s="3">
        <f>Table1[[#This Row],[Profit]]/Table1[[#This Row],[Sales]]</f>
        <v>0.21638443935926774</v>
      </c>
      <c r="X201" t="str">
        <f>IF(Table1[[#This Row],[Sales]]&gt;=30000,"High Value",IF(Table1[[#This Row],[Sales]]&gt;=15000,"Medium Value","Low Value"))</f>
        <v>Medium Value</v>
      </c>
      <c r="Y201" t="str">
        <f>IF(Table1[[#This Row],[Quantity]]&gt;=3,"Bulk Order","Regular Order")</f>
        <v>Regular Order</v>
      </c>
      <c r="Z201" t="str">
        <f>TEXT(Table1[[#This Row],[Order Date]],"dddd")</f>
        <v>Saturday</v>
      </c>
    </row>
    <row r="202" spans="1:26" ht="14.4" x14ac:dyDescent="0.3">
      <c r="A202" t="s">
        <v>647</v>
      </c>
      <c r="B202" t="s">
        <v>648</v>
      </c>
      <c r="C202" s="2">
        <v>46189</v>
      </c>
      <c r="D202" t="s">
        <v>42</v>
      </c>
      <c r="E202" t="s">
        <v>29</v>
      </c>
      <c r="F202" t="s">
        <v>341</v>
      </c>
      <c r="G202" t="s">
        <v>218</v>
      </c>
      <c r="H202" t="s">
        <v>46</v>
      </c>
      <c r="I202" t="s">
        <v>33</v>
      </c>
      <c r="J202" t="s">
        <v>59</v>
      </c>
      <c r="K202" t="s">
        <v>95</v>
      </c>
      <c r="L202" t="s">
        <v>36</v>
      </c>
      <c r="M202">
        <v>1</v>
      </c>
      <c r="N202">
        <v>15875</v>
      </c>
      <c r="O202" s="2">
        <v>5</v>
      </c>
      <c r="P202" s="2">
        <v>15081.25</v>
      </c>
      <c r="Q202" s="2">
        <v>12143.36</v>
      </c>
      <c r="R202" s="2">
        <v>2937.89</v>
      </c>
      <c r="S202" t="s">
        <v>50</v>
      </c>
      <c r="T202">
        <v>4</v>
      </c>
      <c r="U202" t="s">
        <v>51</v>
      </c>
      <c r="V202" t="s">
        <v>86</v>
      </c>
      <c r="W202" s="3">
        <f>Table1[[#This Row],[Profit]]/Table1[[#This Row],[Sales]]</f>
        <v>0.19480414421881476</v>
      </c>
      <c r="X202" t="str">
        <f>IF(Table1[[#This Row],[Sales]]&gt;=30000,"High Value",IF(Table1[[#This Row],[Sales]]&gt;=15000,"Medium Value","Low Value"))</f>
        <v>Medium Value</v>
      </c>
      <c r="Y202" t="str">
        <f>IF(Table1[[#This Row],[Quantity]]&gt;=3,"Bulk Order","Regular Order")</f>
        <v>Regular Order</v>
      </c>
      <c r="Z202" t="str">
        <f>TEXT(Table1[[#This Row],[Order Date]],"dddd")</f>
        <v>Tuesday</v>
      </c>
    </row>
    <row r="203" spans="1:26" ht="14.4" x14ac:dyDescent="0.3">
      <c r="A203" t="s">
        <v>649</v>
      </c>
      <c r="B203" t="s">
        <v>650</v>
      </c>
      <c r="C203" s="2">
        <v>46144</v>
      </c>
      <c r="D203" t="s">
        <v>28</v>
      </c>
      <c r="E203" t="s">
        <v>78</v>
      </c>
      <c r="F203" t="s">
        <v>395</v>
      </c>
      <c r="G203" t="s">
        <v>161</v>
      </c>
      <c r="H203" t="s">
        <v>32</v>
      </c>
      <c r="I203" t="s">
        <v>33</v>
      </c>
      <c r="J203" t="s">
        <v>59</v>
      </c>
      <c r="K203" t="s">
        <v>95</v>
      </c>
      <c r="L203" t="s">
        <v>36</v>
      </c>
      <c r="M203">
        <v>2</v>
      </c>
      <c r="N203">
        <v>15970</v>
      </c>
      <c r="O203" s="2">
        <v>15</v>
      </c>
      <c r="P203" s="2">
        <v>27149</v>
      </c>
      <c r="Q203" s="2">
        <v>21194.25</v>
      </c>
      <c r="R203" s="2">
        <v>5954.75</v>
      </c>
      <c r="S203" t="s">
        <v>50</v>
      </c>
      <c r="T203">
        <v>4</v>
      </c>
      <c r="U203" t="s">
        <v>51</v>
      </c>
      <c r="V203" t="s">
        <v>86</v>
      </c>
      <c r="W203" s="3">
        <f>Table1[[#This Row],[Profit]]/Table1[[#This Row],[Sales]]</f>
        <v>0.21933588714133118</v>
      </c>
      <c r="X203" t="str">
        <f>IF(Table1[[#This Row],[Sales]]&gt;=30000,"High Value",IF(Table1[[#This Row],[Sales]]&gt;=15000,"Medium Value","Low Value"))</f>
        <v>Medium Value</v>
      </c>
      <c r="Y203" t="str">
        <f>IF(Table1[[#This Row],[Quantity]]&gt;=3,"Bulk Order","Regular Order")</f>
        <v>Regular Order</v>
      </c>
      <c r="Z203" t="str">
        <f>TEXT(Table1[[#This Row],[Order Date]],"dddd")</f>
        <v>Saturday</v>
      </c>
    </row>
    <row r="204" spans="1:26" ht="14.4" x14ac:dyDescent="0.3">
      <c r="A204" t="s">
        <v>651</v>
      </c>
      <c r="B204" t="s">
        <v>652</v>
      </c>
      <c r="C204" s="2">
        <v>46147</v>
      </c>
      <c r="D204" t="s">
        <v>28</v>
      </c>
      <c r="E204" t="s">
        <v>55</v>
      </c>
      <c r="F204" t="s">
        <v>522</v>
      </c>
      <c r="G204" t="s">
        <v>229</v>
      </c>
      <c r="H204" t="s">
        <v>32</v>
      </c>
      <c r="I204" t="s">
        <v>33</v>
      </c>
      <c r="J204" t="s">
        <v>59</v>
      </c>
      <c r="K204" t="s">
        <v>60</v>
      </c>
      <c r="L204" t="s">
        <v>61</v>
      </c>
      <c r="M204">
        <v>1</v>
      </c>
      <c r="N204">
        <v>15763</v>
      </c>
      <c r="O204" s="2">
        <v>15</v>
      </c>
      <c r="P204" s="2">
        <v>13398.55</v>
      </c>
      <c r="Q204" s="2">
        <v>10659.38</v>
      </c>
      <c r="R204" s="2">
        <v>2739.17</v>
      </c>
      <c r="S204" t="s">
        <v>37</v>
      </c>
      <c r="T204">
        <v>4</v>
      </c>
      <c r="U204" t="s">
        <v>51</v>
      </c>
      <c r="V204" t="s">
        <v>86</v>
      </c>
      <c r="W204" s="3">
        <f>Table1[[#This Row],[Profit]]/Table1[[#This Row],[Sales]]</f>
        <v>0.20443779364184933</v>
      </c>
      <c r="X204" t="str">
        <f>IF(Table1[[#This Row],[Sales]]&gt;=30000,"High Value",IF(Table1[[#This Row],[Sales]]&gt;=15000,"Medium Value","Low Value"))</f>
        <v>Low Value</v>
      </c>
      <c r="Y204" t="str">
        <f>IF(Table1[[#This Row],[Quantity]]&gt;=3,"Bulk Order","Regular Order")</f>
        <v>Regular Order</v>
      </c>
      <c r="Z204" t="str">
        <f>TEXT(Table1[[#This Row],[Order Date]],"dddd")</f>
        <v>Tuesday</v>
      </c>
    </row>
    <row r="205" spans="1:26" ht="14.4" x14ac:dyDescent="0.3">
      <c r="A205" t="s">
        <v>653</v>
      </c>
      <c r="B205" t="s">
        <v>654</v>
      </c>
      <c r="C205" s="2">
        <v>46201</v>
      </c>
      <c r="D205" t="s">
        <v>42</v>
      </c>
      <c r="E205" t="s">
        <v>55</v>
      </c>
      <c r="F205" t="s">
        <v>330</v>
      </c>
      <c r="G205" t="s">
        <v>134</v>
      </c>
      <c r="H205" t="s">
        <v>46</v>
      </c>
      <c r="I205" t="s">
        <v>33</v>
      </c>
      <c r="J205" t="s">
        <v>59</v>
      </c>
      <c r="K205" t="s">
        <v>60</v>
      </c>
      <c r="L205" t="s">
        <v>61</v>
      </c>
      <c r="M205">
        <v>2</v>
      </c>
      <c r="N205">
        <v>16681</v>
      </c>
      <c r="O205" s="2">
        <v>0</v>
      </c>
      <c r="P205" s="2">
        <v>33362</v>
      </c>
      <c r="Q205" s="2">
        <v>26299.97</v>
      </c>
      <c r="R205" s="2">
        <v>7062.03</v>
      </c>
      <c r="S205" t="s">
        <v>50</v>
      </c>
      <c r="T205">
        <v>4</v>
      </c>
      <c r="U205" t="s">
        <v>51</v>
      </c>
      <c r="V205" t="s">
        <v>52</v>
      </c>
      <c r="W205" s="3">
        <f>Table1[[#This Row],[Profit]]/Table1[[#This Row],[Sales]]</f>
        <v>0.21167885618368201</v>
      </c>
      <c r="X205" t="str">
        <f>IF(Table1[[#This Row],[Sales]]&gt;=30000,"High Value",IF(Table1[[#This Row],[Sales]]&gt;=15000,"Medium Value","Low Value"))</f>
        <v>High Value</v>
      </c>
      <c r="Y205" t="str">
        <f>IF(Table1[[#This Row],[Quantity]]&gt;=3,"Bulk Order","Regular Order")</f>
        <v>Regular Order</v>
      </c>
      <c r="Z205" t="str">
        <f>TEXT(Table1[[#This Row],[Order Date]],"dddd")</f>
        <v>Sunday</v>
      </c>
    </row>
    <row r="206" spans="1:26" ht="14.4" x14ac:dyDescent="0.3">
      <c r="A206" t="s">
        <v>655</v>
      </c>
      <c r="B206" t="s">
        <v>656</v>
      </c>
      <c r="C206" s="2">
        <v>46162</v>
      </c>
      <c r="D206" t="s">
        <v>28</v>
      </c>
      <c r="E206" t="s">
        <v>55</v>
      </c>
      <c r="F206" t="s">
        <v>657</v>
      </c>
      <c r="G206" t="s">
        <v>74</v>
      </c>
      <c r="H206" t="s">
        <v>46</v>
      </c>
      <c r="I206" t="s">
        <v>33</v>
      </c>
      <c r="J206" t="s">
        <v>59</v>
      </c>
      <c r="K206" t="s">
        <v>60</v>
      </c>
      <c r="L206" t="s">
        <v>61</v>
      </c>
      <c r="M206">
        <v>2</v>
      </c>
      <c r="N206">
        <v>16820</v>
      </c>
      <c r="O206" s="2">
        <v>10</v>
      </c>
      <c r="P206" s="2">
        <v>30276</v>
      </c>
      <c r="Q206" s="2">
        <v>24215.51</v>
      </c>
      <c r="R206" s="2">
        <v>6060.49</v>
      </c>
      <c r="S206" t="s">
        <v>81</v>
      </c>
      <c r="T206">
        <v>5</v>
      </c>
      <c r="U206" t="s">
        <v>90</v>
      </c>
      <c r="V206" t="s">
        <v>39</v>
      </c>
      <c r="W206" s="3">
        <f>Table1[[#This Row],[Profit]]/Table1[[#This Row],[Sales]]</f>
        <v>0.20017472585546306</v>
      </c>
      <c r="X206" t="str">
        <f>IF(Table1[[#This Row],[Sales]]&gt;=30000,"High Value",IF(Table1[[#This Row],[Sales]]&gt;=15000,"Medium Value","Low Value"))</f>
        <v>High Value</v>
      </c>
      <c r="Y206" t="str">
        <f>IF(Table1[[#This Row],[Quantity]]&gt;=3,"Bulk Order","Regular Order")</f>
        <v>Regular Order</v>
      </c>
      <c r="Z206" t="str">
        <f>TEXT(Table1[[#This Row],[Order Date]],"dddd")</f>
        <v>Wednesday</v>
      </c>
    </row>
    <row r="207" spans="1:26" ht="14.4" x14ac:dyDescent="0.3">
      <c r="A207" t="s">
        <v>658</v>
      </c>
      <c r="B207" t="s">
        <v>659</v>
      </c>
      <c r="C207" s="2">
        <v>46166</v>
      </c>
      <c r="D207" t="s">
        <v>28</v>
      </c>
      <c r="E207" t="s">
        <v>102</v>
      </c>
      <c r="F207" t="s">
        <v>660</v>
      </c>
      <c r="G207" t="s">
        <v>417</v>
      </c>
      <c r="H207" t="s">
        <v>46</v>
      </c>
      <c r="I207" t="s">
        <v>33</v>
      </c>
      <c r="J207" t="s">
        <v>47</v>
      </c>
      <c r="K207" t="s">
        <v>48</v>
      </c>
      <c r="L207" t="s">
        <v>49</v>
      </c>
      <c r="M207">
        <v>2</v>
      </c>
      <c r="N207">
        <v>8186</v>
      </c>
      <c r="O207" s="2">
        <v>5</v>
      </c>
      <c r="P207" s="2">
        <v>15553.4</v>
      </c>
      <c r="Q207" s="2">
        <v>12657.68</v>
      </c>
      <c r="R207" s="2">
        <v>2895.72</v>
      </c>
      <c r="S207" t="s">
        <v>37</v>
      </c>
      <c r="T207">
        <v>3</v>
      </c>
      <c r="U207" t="s">
        <v>51</v>
      </c>
      <c r="V207" t="s">
        <v>39</v>
      </c>
      <c r="W207" s="3">
        <f>Table1[[#This Row],[Profit]]/Table1[[#This Row],[Sales]]</f>
        <v>0.18617922769298031</v>
      </c>
      <c r="X207" t="str">
        <f>IF(Table1[[#This Row],[Sales]]&gt;=30000,"High Value",IF(Table1[[#This Row],[Sales]]&gt;=15000,"Medium Value","Low Value"))</f>
        <v>Medium Value</v>
      </c>
      <c r="Y207" t="str">
        <f>IF(Table1[[#This Row],[Quantity]]&gt;=3,"Bulk Order","Regular Order")</f>
        <v>Regular Order</v>
      </c>
      <c r="Z207" t="str">
        <f>TEXT(Table1[[#This Row],[Order Date]],"dddd")</f>
        <v>Sunday</v>
      </c>
    </row>
    <row r="208" spans="1:26" ht="14.4" x14ac:dyDescent="0.3">
      <c r="A208" t="s">
        <v>661</v>
      </c>
      <c r="B208" t="s">
        <v>662</v>
      </c>
      <c r="C208" s="2">
        <v>46192</v>
      </c>
      <c r="D208" t="s">
        <v>42</v>
      </c>
      <c r="E208" t="s">
        <v>133</v>
      </c>
      <c r="F208" t="s">
        <v>663</v>
      </c>
      <c r="G208" t="s">
        <v>57</v>
      </c>
      <c r="H208" t="s">
        <v>46</v>
      </c>
      <c r="I208" t="s">
        <v>33</v>
      </c>
      <c r="J208" t="s">
        <v>47</v>
      </c>
      <c r="K208" t="s">
        <v>48</v>
      </c>
      <c r="L208" t="s">
        <v>49</v>
      </c>
      <c r="M208">
        <v>1</v>
      </c>
      <c r="N208">
        <v>7932</v>
      </c>
      <c r="O208" s="2">
        <v>0</v>
      </c>
      <c r="P208" s="2">
        <v>7932</v>
      </c>
      <c r="Q208" s="2">
        <v>6434.46</v>
      </c>
      <c r="R208" s="2">
        <v>1497.54</v>
      </c>
      <c r="S208" t="s">
        <v>81</v>
      </c>
      <c r="T208">
        <v>4</v>
      </c>
      <c r="U208" t="s">
        <v>38</v>
      </c>
      <c r="V208" t="s">
        <v>116</v>
      </c>
      <c r="W208" s="3">
        <f>Table1[[#This Row],[Profit]]/Table1[[#This Row],[Sales]]</f>
        <v>0.18879727685325265</v>
      </c>
      <c r="X208" t="str">
        <f>IF(Table1[[#This Row],[Sales]]&gt;=30000,"High Value",IF(Table1[[#This Row],[Sales]]&gt;=15000,"Medium Value","Low Value"))</f>
        <v>Low Value</v>
      </c>
      <c r="Y208" t="str">
        <f>IF(Table1[[#This Row],[Quantity]]&gt;=3,"Bulk Order","Regular Order")</f>
        <v>Regular Order</v>
      </c>
      <c r="Z208" t="str">
        <f>TEXT(Table1[[#This Row],[Order Date]],"dddd")</f>
        <v>Friday</v>
      </c>
    </row>
    <row r="209" spans="1:26" ht="14.4" x14ac:dyDescent="0.3">
      <c r="A209" t="s">
        <v>664</v>
      </c>
      <c r="B209" t="s">
        <v>665</v>
      </c>
      <c r="C209" s="2">
        <v>46188</v>
      </c>
      <c r="D209" t="s">
        <v>42</v>
      </c>
      <c r="E209" t="s">
        <v>66</v>
      </c>
      <c r="F209" t="s">
        <v>666</v>
      </c>
      <c r="G209" t="s">
        <v>292</v>
      </c>
      <c r="H209" t="s">
        <v>46</v>
      </c>
      <c r="I209" t="s">
        <v>33</v>
      </c>
      <c r="J209" t="s">
        <v>59</v>
      </c>
      <c r="K209" t="s">
        <v>95</v>
      </c>
      <c r="L209" t="s">
        <v>36</v>
      </c>
      <c r="M209">
        <v>2</v>
      </c>
      <c r="N209">
        <v>15248</v>
      </c>
      <c r="O209" s="2">
        <v>5</v>
      </c>
      <c r="P209" s="2">
        <v>28971.200000000001</v>
      </c>
      <c r="Q209" s="2">
        <v>22975.77</v>
      </c>
      <c r="R209" s="2">
        <v>5995.43</v>
      </c>
      <c r="S209" t="s">
        <v>37</v>
      </c>
      <c r="T209">
        <v>5</v>
      </c>
      <c r="U209" t="s">
        <v>51</v>
      </c>
      <c r="V209" t="s">
        <v>63</v>
      </c>
      <c r="W209" s="3">
        <f>Table1[[#This Row],[Profit]]/Table1[[#This Row],[Sales]]</f>
        <v>0.20694448279670846</v>
      </c>
      <c r="X209" t="str">
        <f>IF(Table1[[#This Row],[Sales]]&gt;=30000,"High Value",IF(Table1[[#This Row],[Sales]]&gt;=15000,"Medium Value","Low Value"))</f>
        <v>Medium Value</v>
      </c>
      <c r="Y209" t="str">
        <f>IF(Table1[[#This Row],[Quantity]]&gt;=3,"Bulk Order","Regular Order")</f>
        <v>Regular Order</v>
      </c>
      <c r="Z209" t="str">
        <f>TEXT(Table1[[#This Row],[Order Date]],"dddd")</f>
        <v>Monday</v>
      </c>
    </row>
    <row r="210" spans="1:26" ht="14.4" x14ac:dyDescent="0.3">
      <c r="A210" t="s">
        <v>667</v>
      </c>
      <c r="B210" t="s">
        <v>668</v>
      </c>
      <c r="C210" s="2">
        <v>46147</v>
      </c>
      <c r="D210" t="s">
        <v>28</v>
      </c>
      <c r="E210" t="s">
        <v>55</v>
      </c>
      <c r="F210" t="s">
        <v>669</v>
      </c>
      <c r="G210" t="s">
        <v>182</v>
      </c>
      <c r="H210" t="s">
        <v>46</v>
      </c>
      <c r="I210" t="s">
        <v>33</v>
      </c>
      <c r="J210" t="s">
        <v>47</v>
      </c>
      <c r="K210" t="s">
        <v>48</v>
      </c>
      <c r="L210" t="s">
        <v>49</v>
      </c>
      <c r="M210">
        <v>1</v>
      </c>
      <c r="N210">
        <v>8171</v>
      </c>
      <c r="O210" s="2">
        <v>0</v>
      </c>
      <c r="P210" s="2">
        <v>8171</v>
      </c>
      <c r="Q210" s="2">
        <v>6389.82</v>
      </c>
      <c r="R210" s="2">
        <v>1781.18</v>
      </c>
      <c r="S210" t="s">
        <v>37</v>
      </c>
      <c r="T210">
        <v>5</v>
      </c>
      <c r="U210" t="s">
        <v>51</v>
      </c>
      <c r="V210" t="s">
        <v>52</v>
      </c>
      <c r="W210" s="3">
        <f>Table1[[#This Row],[Profit]]/Table1[[#This Row],[Sales]]</f>
        <v>0.21798800636397014</v>
      </c>
      <c r="X210" t="str">
        <f>IF(Table1[[#This Row],[Sales]]&gt;=30000,"High Value",IF(Table1[[#This Row],[Sales]]&gt;=15000,"Medium Value","Low Value"))</f>
        <v>Low Value</v>
      </c>
      <c r="Y210" t="str">
        <f>IF(Table1[[#This Row],[Quantity]]&gt;=3,"Bulk Order","Regular Order")</f>
        <v>Regular Order</v>
      </c>
      <c r="Z210" t="str">
        <f>TEXT(Table1[[#This Row],[Order Date]],"dddd")</f>
        <v>Tuesday</v>
      </c>
    </row>
    <row r="211" spans="1:26" ht="14.4" x14ac:dyDescent="0.3">
      <c r="A211" t="s">
        <v>670</v>
      </c>
      <c r="B211" t="s">
        <v>671</v>
      </c>
      <c r="C211" s="2">
        <v>46162</v>
      </c>
      <c r="D211" t="s">
        <v>28</v>
      </c>
      <c r="E211" t="s">
        <v>133</v>
      </c>
      <c r="F211" t="s">
        <v>269</v>
      </c>
      <c r="G211" t="s">
        <v>74</v>
      </c>
      <c r="H211" t="s">
        <v>46</v>
      </c>
      <c r="I211" t="s">
        <v>58</v>
      </c>
      <c r="J211" t="s">
        <v>59</v>
      </c>
      <c r="K211" t="s">
        <v>60</v>
      </c>
      <c r="L211" t="s">
        <v>61</v>
      </c>
      <c r="M211">
        <v>4</v>
      </c>
      <c r="N211">
        <v>15823</v>
      </c>
      <c r="O211" s="2">
        <v>10</v>
      </c>
      <c r="P211" s="2">
        <v>56962.8</v>
      </c>
      <c r="Q211" s="2">
        <v>45133.64</v>
      </c>
      <c r="R211" s="2">
        <v>11829.16</v>
      </c>
      <c r="S211" t="s">
        <v>62</v>
      </c>
      <c r="T211">
        <v>4</v>
      </c>
      <c r="U211" t="s">
        <v>51</v>
      </c>
      <c r="V211" t="s">
        <v>116</v>
      </c>
      <c r="W211" s="3">
        <f>Table1[[#This Row],[Profit]]/Table1[[#This Row],[Sales]]</f>
        <v>0.20766465131629763</v>
      </c>
      <c r="X211" t="str">
        <f>IF(Table1[[#This Row],[Sales]]&gt;=30000,"High Value",IF(Table1[[#This Row],[Sales]]&gt;=15000,"Medium Value","Low Value"))</f>
        <v>High Value</v>
      </c>
      <c r="Y211" t="str">
        <f>IF(Table1[[#This Row],[Quantity]]&gt;=3,"Bulk Order","Regular Order")</f>
        <v>Bulk Order</v>
      </c>
      <c r="Z211" t="str">
        <f>TEXT(Table1[[#This Row],[Order Date]],"dddd")</f>
        <v>Wednesday</v>
      </c>
    </row>
    <row r="212" spans="1:26" ht="14.4" x14ac:dyDescent="0.3">
      <c r="A212" t="s">
        <v>672</v>
      </c>
      <c r="B212" t="s">
        <v>673</v>
      </c>
      <c r="C212" s="2">
        <v>46162</v>
      </c>
      <c r="D212" t="s">
        <v>28</v>
      </c>
      <c r="E212" t="s">
        <v>55</v>
      </c>
      <c r="F212" t="s">
        <v>674</v>
      </c>
      <c r="G212" t="s">
        <v>611</v>
      </c>
      <c r="H212" t="s">
        <v>46</v>
      </c>
      <c r="I212" t="s">
        <v>33</v>
      </c>
      <c r="J212" t="s">
        <v>169</v>
      </c>
      <c r="K212" t="s">
        <v>170</v>
      </c>
      <c r="L212" t="s">
        <v>171</v>
      </c>
      <c r="M212">
        <v>2</v>
      </c>
      <c r="N212">
        <v>10300</v>
      </c>
      <c r="O212" s="2">
        <v>0</v>
      </c>
      <c r="P212" s="2">
        <v>20600</v>
      </c>
      <c r="Q212" s="2">
        <v>16230.5</v>
      </c>
      <c r="R212" s="2">
        <v>4369.5</v>
      </c>
      <c r="S212" t="s">
        <v>62</v>
      </c>
      <c r="T212">
        <v>4</v>
      </c>
      <c r="U212" t="s">
        <v>51</v>
      </c>
      <c r="V212" t="s">
        <v>116</v>
      </c>
      <c r="W212" s="3">
        <f>Table1[[#This Row],[Profit]]/Table1[[#This Row],[Sales]]</f>
        <v>0.2121116504854369</v>
      </c>
      <c r="X212" t="str">
        <f>IF(Table1[[#This Row],[Sales]]&gt;=30000,"High Value",IF(Table1[[#This Row],[Sales]]&gt;=15000,"Medium Value","Low Value"))</f>
        <v>Medium Value</v>
      </c>
      <c r="Y212" t="str">
        <f>IF(Table1[[#This Row],[Quantity]]&gt;=3,"Bulk Order","Regular Order")</f>
        <v>Regular Order</v>
      </c>
      <c r="Z212" t="str">
        <f>TEXT(Table1[[#This Row],[Order Date]],"dddd")</f>
        <v>Wednesday</v>
      </c>
    </row>
    <row r="213" spans="1:26" ht="14.4" x14ac:dyDescent="0.3">
      <c r="A213" t="s">
        <v>675</v>
      </c>
      <c r="B213" t="s">
        <v>676</v>
      </c>
      <c r="C213" s="2">
        <v>46191</v>
      </c>
      <c r="D213" t="s">
        <v>42</v>
      </c>
      <c r="E213" t="s">
        <v>133</v>
      </c>
      <c r="F213" t="s">
        <v>260</v>
      </c>
      <c r="G213" t="s">
        <v>239</v>
      </c>
      <c r="H213" t="s">
        <v>46</v>
      </c>
      <c r="I213" t="s">
        <v>33</v>
      </c>
      <c r="J213" t="s">
        <v>47</v>
      </c>
      <c r="K213" t="s">
        <v>69</v>
      </c>
      <c r="L213" t="s">
        <v>70</v>
      </c>
      <c r="M213">
        <v>2</v>
      </c>
      <c r="N213">
        <v>7640</v>
      </c>
      <c r="O213" s="2">
        <v>5</v>
      </c>
      <c r="P213" s="2">
        <v>14516</v>
      </c>
      <c r="Q213" s="2">
        <v>11510.59</v>
      </c>
      <c r="R213" s="2">
        <v>3005.41</v>
      </c>
      <c r="S213" t="s">
        <v>50</v>
      </c>
      <c r="T213">
        <v>4</v>
      </c>
      <c r="U213" t="s">
        <v>51</v>
      </c>
      <c r="V213" t="s">
        <v>39</v>
      </c>
      <c r="W213" s="3">
        <f>Table1[[#This Row],[Profit]]/Table1[[#This Row],[Sales]]</f>
        <v>0.20704119592174153</v>
      </c>
      <c r="X213" t="str">
        <f>IF(Table1[[#This Row],[Sales]]&gt;=30000,"High Value",IF(Table1[[#This Row],[Sales]]&gt;=15000,"Medium Value","Low Value"))</f>
        <v>Low Value</v>
      </c>
      <c r="Y213" t="str">
        <f>IF(Table1[[#This Row],[Quantity]]&gt;=3,"Bulk Order","Regular Order")</f>
        <v>Regular Order</v>
      </c>
      <c r="Z213" t="str">
        <f>TEXT(Table1[[#This Row],[Order Date]],"dddd")</f>
        <v>Thursday</v>
      </c>
    </row>
    <row r="214" spans="1:26" ht="14.4" x14ac:dyDescent="0.3">
      <c r="A214" t="s">
        <v>677</v>
      </c>
      <c r="B214" t="s">
        <v>678</v>
      </c>
      <c r="C214" s="2">
        <v>46160</v>
      </c>
      <c r="D214" t="s">
        <v>28</v>
      </c>
      <c r="E214" t="s">
        <v>78</v>
      </c>
      <c r="F214" t="s">
        <v>189</v>
      </c>
      <c r="G214" t="s">
        <v>94</v>
      </c>
      <c r="H214" t="s">
        <v>46</v>
      </c>
      <c r="I214" t="s">
        <v>33</v>
      </c>
      <c r="J214" t="s">
        <v>169</v>
      </c>
      <c r="K214" t="s">
        <v>170</v>
      </c>
      <c r="L214" t="s">
        <v>171</v>
      </c>
      <c r="M214">
        <v>2</v>
      </c>
      <c r="N214">
        <v>11647</v>
      </c>
      <c r="O214" s="2">
        <v>10</v>
      </c>
      <c r="P214" s="2">
        <v>20964.599999999999</v>
      </c>
      <c r="Q214" s="2">
        <v>16693.87</v>
      </c>
      <c r="R214" s="2">
        <v>4270.7299999999996</v>
      </c>
      <c r="S214" t="s">
        <v>81</v>
      </c>
      <c r="T214">
        <v>5</v>
      </c>
      <c r="U214" t="s">
        <v>38</v>
      </c>
      <c r="V214" t="s">
        <v>86</v>
      </c>
      <c r="W214" s="3">
        <f>Table1[[#This Row],[Profit]]/Table1[[#This Row],[Sales]]</f>
        <v>0.20371149461473148</v>
      </c>
      <c r="X214" t="str">
        <f>IF(Table1[[#This Row],[Sales]]&gt;=30000,"High Value",IF(Table1[[#This Row],[Sales]]&gt;=15000,"Medium Value","Low Value"))</f>
        <v>Medium Value</v>
      </c>
      <c r="Y214" t="str">
        <f>IF(Table1[[#This Row],[Quantity]]&gt;=3,"Bulk Order","Regular Order")</f>
        <v>Regular Order</v>
      </c>
      <c r="Z214" t="str">
        <f>TEXT(Table1[[#This Row],[Order Date]],"dddd")</f>
        <v>Monday</v>
      </c>
    </row>
    <row r="215" spans="1:26" ht="14.4" x14ac:dyDescent="0.3">
      <c r="A215" t="s">
        <v>679</v>
      </c>
      <c r="B215" t="s">
        <v>680</v>
      </c>
      <c r="C215" s="2">
        <v>46180</v>
      </c>
      <c r="D215" t="s">
        <v>42</v>
      </c>
      <c r="E215" t="s">
        <v>78</v>
      </c>
      <c r="F215" t="s">
        <v>398</v>
      </c>
      <c r="G215" t="s">
        <v>193</v>
      </c>
      <c r="H215" t="s">
        <v>32</v>
      </c>
      <c r="I215" t="s">
        <v>33</v>
      </c>
      <c r="J215" t="s">
        <v>59</v>
      </c>
      <c r="K215" t="s">
        <v>95</v>
      </c>
      <c r="L215" t="s">
        <v>36</v>
      </c>
      <c r="M215">
        <v>2</v>
      </c>
      <c r="N215">
        <v>15200</v>
      </c>
      <c r="O215" s="2">
        <v>5</v>
      </c>
      <c r="P215" s="2">
        <v>28880</v>
      </c>
      <c r="Q215" s="2">
        <v>23647.83</v>
      </c>
      <c r="R215" s="2">
        <v>5232.17</v>
      </c>
      <c r="S215" t="s">
        <v>37</v>
      </c>
      <c r="T215">
        <v>5</v>
      </c>
      <c r="U215" t="s">
        <v>51</v>
      </c>
      <c r="V215" t="s">
        <v>52</v>
      </c>
      <c r="W215" s="3">
        <f>Table1[[#This Row],[Profit]]/Table1[[#This Row],[Sales]]</f>
        <v>0.18116932132963989</v>
      </c>
      <c r="X215" t="str">
        <f>IF(Table1[[#This Row],[Sales]]&gt;=30000,"High Value",IF(Table1[[#This Row],[Sales]]&gt;=15000,"Medium Value","Low Value"))</f>
        <v>Medium Value</v>
      </c>
      <c r="Y215" t="str">
        <f>IF(Table1[[#This Row],[Quantity]]&gt;=3,"Bulk Order","Regular Order")</f>
        <v>Regular Order</v>
      </c>
      <c r="Z215" t="str">
        <f>TEXT(Table1[[#This Row],[Order Date]],"dddd")</f>
        <v>Sunday</v>
      </c>
    </row>
    <row r="216" spans="1:26" ht="14.4" x14ac:dyDescent="0.3">
      <c r="A216" t="s">
        <v>681</v>
      </c>
      <c r="B216" t="s">
        <v>682</v>
      </c>
      <c r="C216" s="2">
        <v>46171</v>
      </c>
      <c r="D216" t="s">
        <v>28</v>
      </c>
      <c r="E216" t="s">
        <v>66</v>
      </c>
      <c r="F216" t="s">
        <v>330</v>
      </c>
      <c r="G216" t="s">
        <v>218</v>
      </c>
      <c r="H216" t="s">
        <v>46</v>
      </c>
      <c r="I216" t="s">
        <v>33</v>
      </c>
      <c r="J216" t="s">
        <v>59</v>
      </c>
      <c r="K216" t="s">
        <v>95</v>
      </c>
      <c r="L216" t="s">
        <v>36</v>
      </c>
      <c r="M216">
        <v>1</v>
      </c>
      <c r="N216">
        <v>15205</v>
      </c>
      <c r="O216" s="2">
        <v>0</v>
      </c>
      <c r="P216" s="2">
        <v>15205</v>
      </c>
      <c r="Q216" s="2">
        <v>11985.53</v>
      </c>
      <c r="R216" s="2">
        <v>3219.47</v>
      </c>
      <c r="S216" t="s">
        <v>37</v>
      </c>
      <c r="T216">
        <v>5</v>
      </c>
      <c r="U216" t="s">
        <v>51</v>
      </c>
      <c r="V216" t="s">
        <v>39</v>
      </c>
      <c r="W216" s="3">
        <f>Table1[[#This Row],[Profit]]/Table1[[#This Row],[Sales]]</f>
        <v>0.21173758632028936</v>
      </c>
      <c r="X216" t="str">
        <f>IF(Table1[[#This Row],[Sales]]&gt;=30000,"High Value",IF(Table1[[#This Row],[Sales]]&gt;=15000,"Medium Value","Low Value"))</f>
        <v>Medium Value</v>
      </c>
      <c r="Y216" t="str">
        <f>IF(Table1[[#This Row],[Quantity]]&gt;=3,"Bulk Order","Regular Order")</f>
        <v>Regular Order</v>
      </c>
      <c r="Z216" t="str">
        <f>TEXT(Table1[[#This Row],[Order Date]],"dddd")</f>
        <v>Friday</v>
      </c>
    </row>
    <row r="217" spans="1:26" ht="14.4" x14ac:dyDescent="0.3">
      <c r="A217" t="s">
        <v>683</v>
      </c>
      <c r="B217" t="s">
        <v>684</v>
      </c>
      <c r="C217" s="2">
        <v>46159</v>
      </c>
      <c r="D217" t="s">
        <v>28</v>
      </c>
      <c r="E217" t="s">
        <v>133</v>
      </c>
      <c r="F217" t="s">
        <v>685</v>
      </c>
      <c r="G217" t="s">
        <v>204</v>
      </c>
      <c r="H217" t="s">
        <v>46</v>
      </c>
      <c r="I217" t="s">
        <v>33</v>
      </c>
      <c r="J217" t="s">
        <v>59</v>
      </c>
      <c r="K217" t="s">
        <v>95</v>
      </c>
      <c r="L217" t="s">
        <v>36</v>
      </c>
      <c r="M217">
        <v>1</v>
      </c>
      <c r="N217">
        <v>15872</v>
      </c>
      <c r="O217" s="2">
        <v>0</v>
      </c>
      <c r="P217" s="2">
        <v>15872</v>
      </c>
      <c r="Q217" s="2">
        <v>12766.22</v>
      </c>
      <c r="R217" s="2">
        <v>3105.78</v>
      </c>
      <c r="S217" t="s">
        <v>50</v>
      </c>
      <c r="T217">
        <v>5</v>
      </c>
      <c r="U217" t="s">
        <v>51</v>
      </c>
      <c r="V217" t="s">
        <v>52</v>
      </c>
      <c r="W217" s="3">
        <f>Table1[[#This Row],[Profit]]/Table1[[#This Row],[Sales]]</f>
        <v>0.19567666330645161</v>
      </c>
      <c r="X217" t="str">
        <f>IF(Table1[[#This Row],[Sales]]&gt;=30000,"High Value",IF(Table1[[#This Row],[Sales]]&gt;=15000,"Medium Value","Low Value"))</f>
        <v>Medium Value</v>
      </c>
      <c r="Y217" t="str">
        <f>IF(Table1[[#This Row],[Quantity]]&gt;=3,"Bulk Order","Regular Order")</f>
        <v>Regular Order</v>
      </c>
      <c r="Z217" t="str">
        <f>TEXT(Table1[[#This Row],[Order Date]],"dddd")</f>
        <v>Sunday</v>
      </c>
    </row>
    <row r="218" spans="1:26" ht="14.4" x14ac:dyDescent="0.3">
      <c r="A218" t="s">
        <v>686</v>
      </c>
      <c r="B218" t="s">
        <v>687</v>
      </c>
      <c r="C218" s="2">
        <v>46161</v>
      </c>
      <c r="D218" t="s">
        <v>28</v>
      </c>
      <c r="E218" t="s">
        <v>196</v>
      </c>
      <c r="F218" t="s">
        <v>584</v>
      </c>
      <c r="G218" t="s">
        <v>342</v>
      </c>
      <c r="H218" t="s">
        <v>46</v>
      </c>
      <c r="I218" t="s">
        <v>58</v>
      </c>
      <c r="J218" t="s">
        <v>59</v>
      </c>
      <c r="K218" t="s">
        <v>95</v>
      </c>
      <c r="L218" t="s">
        <v>36</v>
      </c>
      <c r="M218">
        <v>3</v>
      </c>
      <c r="N218">
        <v>16464</v>
      </c>
      <c r="O218" s="2">
        <v>5</v>
      </c>
      <c r="P218" s="2">
        <v>46922.400000000001</v>
      </c>
      <c r="Q218" s="2">
        <v>37855.67</v>
      </c>
      <c r="R218" s="2">
        <v>9066.73</v>
      </c>
      <c r="S218" t="s">
        <v>81</v>
      </c>
      <c r="T218">
        <v>4</v>
      </c>
      <c r="U218" t="s">
        <v>51</v>
      </c>
      <c r="V218" t="s">
        <v>39</v>
      </c>
      <c r="W218" s="3">
        <f>Table1[[#This Row],[Profit]]/Table1[[#This Row],[Sales]]</f>
        <v>0.19322818099670944</v>
      </c>
      <c r="X218" t="str">
        <f>IF(Table1[[#This Row],[Sales]]&gt;=30000,"High Value",IF(Table1[[#This Row],[Sales]]&gt;=15000,"Medium Value","Low Value"))</f>
        <v>High Value</v>
      </c>
      <c r="Y218" t="str">
        <f>IF(Table1[[#This Row],[Quantity]]&gt;=3,"Bulk Order","Regular Order")</f>
        <v>Bulk Order</v>
      </c>
      <c r="Z218" t="str">
        <f>TEXT(Table1[[#This Row],[Order Date]],"dddd")</f>
        <v>Tuesday</v>
      </c>
    </row>
    <row r="219" spans="1:26" ht="14.4" x14ac:dyDescent="0.3">
      <c r="A219" t="s">
        <v>688</v>
      </c>
      <c r="B219" t="s">
        <v>689</v>
      </c>
      <c r="C219" s="2">
        <v>46185</v>
      </c>
      <c r="D219" t="s">
        <v>42</v>
      </c>
      <c r="E219" t="s">
        <v>133</v>
      </c>
      <c r="F219" t="s">
        <v>103</v>
      </c>
      <c r="G219" t="s">
        <v>239</v>
      </c>
      <c r="H219" t="s">
        <v>46</v>
      </c>
      <c r="I219" t="s">
        <v>58</v>
      </c>
      <c r="J219" t="s">
        <v>59</v>
      </c>
      <c r="K219" t="s">
        <v>60</v>
      </c>
      <c r="L219" t="s">
        <v>61</v>
      </c>
      <c r="M219">
        <v>3</v>
      </c>
      <c r="N219">
        <v>16673</v>
      </c>
      <c r="O219" s="2">
        <v>5</v>
      </c>
      <c r="P219" s="2">
        <v>47518.05</v>
      </c>
      <c r="Q219" s="2">
        <v>38061.019999999997</v>
      </c>
      <c r="R219" s="2">
        <v>9457.0300000000007</v>
      </c>
      <c r="S219" t="s">
        <v>50</v>
      </c>
      <c r="T219">
        <v>4</v>
      </c>
      <c r="U219" t="s">
        <v>51</v>
      </c>
      <c r="V219" t="s">
        <v>39</v>
      </c>
      <c r="W219" s="3">
        <f>Table1[[#This Row],[Profit]]/Table1[[#This Row],[Sales]]</f>
        <v>0.19901974091950322</v>
      </c>
      <c r="X219" t="str">
        <f>IF(Table1[[#This Row],[Sales]]&gt;=30000,"High Value",IF(Table1[[#This Row],[Sales]]&gt;=15000,"Medium Value","Low Value"))</f>
        <v>High Value</v>
      </c>
      <c r="Y219" t="str">
        <f>IF(Table1[[#This Row],[Quantity]]&gt;=3,"Bulk Order","Regular Order")</f>
        <v>Bulk Order</v>
      </c>
      <c r="Z219" t="str">
        <f>TEXT(Table1[[#This Row],[Order Date]],"dddd")</f>
        <v>Friday</v>
      </c>
    </row>
    <row r="220" spans="1:26" ht="14.4" x14ac:dyDescent="0.3">
      <c r="A220" t="s">
        <v>690</v>
      </c>
      <c r="B220" t="s">
        <v>691</v>
      </c>
      <c r="C220" s="2">
        <v>46149</v>
      </c>
      <c r="D220" t="s">
        <v>28</v>
      </c>
      <c r="E220" t="s">
        <v>133</v>
      </c>
      <c r="F220" t="s">
        <v>79</v>
      </c>
      <c r="G220" t="s">
        <v>148</v>
      </c>
      <c r="H220" t="s">
        <v>32</v>
      </c>
      <c r="I220" t="s">
        <v>33</v>
      </c>
      <c r="J220" t="s">
        <v>47</v>
      </c>
      <c r="K220" t="s">
        <v>48</v>
      </c>
      <c r="L220" t="s">
        <v>49</v>
      </c>
      <c r="M220">
        <v>1</v>
      </c>
      <c r="N220">
        <v>8190</v>
      </c>
      <c r="O220" s="2">
        <v>0</v>
      </c>
      <c r="P220" s="2">
        <v>8190</v>
      </c>
      <c r="Q220" s="2">
        <v>6455.12</v>
      </c>
      <c r="R220" s="2">
        <v>1734.88</v>
      </c>
      <c r="S220" t="s">
        <v>81</v>
      </c>
      <c r="T220">
        <v>4</v>
      </c>
      <c r="U220" t="s">
        <v>51</v>
      </c>
      <c r="V220" t="s">
        <v>39</v>
      </c>
      <c r="W220" s="3">
        <f>Table1[[#This Row],[Profit]]/Table1[[#This Row],[Sales]]</f>
        <v>0.21182905982905983</v>
      </c>
      <c r="X220" t="str">
        <f>IF(Table1[[#This Row],[Sales]]&gt;=30000,"High Value",IF(Table1[[#This Row],[Sales]]&gt;=15000,"Medium Value","Low Value"))</f>
        <v>Low Value</v>
      </c>
      <c r="Y220" t="str">
        <f>IF(Table1[[#This Row],[Quantity]]&gt;=3,"Bulk Order","Regular Order")</f>
        <v>Regular Order</v>
      </c>
      <c r="Z220" t="str">
        <f>TEXT(Table1[[#This Row],[Order Date]],"dddd")</f>
        <v>Thursday</v>
      </c>
    </row>
    <row r="221" spans="1:26" ht="14.4" x14ac:dyDescent="0.3">
      <c r="A221" t="s">
        <v>692</v>
      </c>
      <c r="B221" t="s">
        <v>693</v>
      </c>
      <c r="C221" s="2">
        <v>46154</v>
      </c>
      <c r="D221" t="s">
        <v>28</v>
      </c>
      <c r="E221" t="s">
        <v>43</v>
      </c>
      <c r="F221" t="s">
        <v>694</v>
      </c>
      <c r="G221" t="s">
        <v>218</v>
      </c>
      <c r="H221" t="s">
        <v>46</v>
      </c>
      <c r="I221" t="s">
        <v>33</v>
      </c>
      <c r="J221" t="s">
        <v>169</v>
      </c>
      <c r="K221" t="s">
        <v>170</v>
      </c>
      <c r="L221" t="s">
        <v>171</v>
      </c>
      <c r="M221">
        <v>2</v>
      </c>
      <c r="N221">
        <v>11728</v>
      </c>
      <c r="O221" s="2">
        <v>0</v>
      </c>
      <c r="P221" s="2">
        <v>23456</v>
      </c>
      <c r="Q221" s="2">
        <v>18863.16</v>
      </c>
      <c r="R221" s="2">
        <v>4592.84</v>
      </c>
      <c r="S221" t="s">
        <v>37</v>
      </c>
      <c r="T221">
        <v>3</v>
      </c>
      <c r="U221" t="s">
        <v>51</v>
      </c>
      <c r="V221" t="s">
        <v>63</v>
      </c>
      <c r="W221" s="3">
        <f>Table1[[#This Row],[Profit]]/Table1[[#This Row],[Sales]]</f>
        <v>0.19580661664392907</v>
      </c>
      <c r="X221" t="str">
        <f>IF(Table1[[#This Row],[Sales]]&gt;=30000,"High Value",IF(Table1[[#This Row],[Sales]]&gt;=15000,"Medium Value","Low Value"))</f>
        <v>Medium Value</v>
      </c>
      <c r="Y221" t="str">
        <f>IF(Table1[[#This Row],[Quantity]]&gt;=3,"Bulk Order","Regular Order")</f>
        <v>Regular Order</v>
      </c>
      <c r="Z221" t="str">
        <f>TEXT(Table1[[#This Row],[Order Date]],"dddd")</f>
        <v>Tuesday</v>
      </c>
    </row>
    <row r="222" spans="1:26" ht="14.4" x14ac:dyDescent="0.3">
      <c r="A222" t="s">
        <v>695</v>
      </c>
      <c r="B222" t="s">
        <v>696</v>
      </c>
      <c r="C222" s="2">
        <v>46187</v>
      </c>
      <c r="D222" t="s">
        <v>42</v>
      </c>
      <c r="E222" t="s">
        <v>133</v>
      </c>
      <c r="F222" t="s">
        <v>228</v>
      </c>
      <c r="G222" t="s">
        <v>389</v>
      </c>
      <c r="H222" t="s">
        <v>46</v>
      </c>
      <c r="I222" t="s">
        <v>33</v>
      </c>
      <c r="J222" t="s">
        <v>59</v>
      </c>
      <c r="K222" t="s">
        <v>60</v>
      </c>
      <c r="L222" t="s">
        <v>61</v>
      </c>
      <c r="M222">
        <v>1</v>
      </c>
      <c r="N222">
        <v>17713</v>
      </c>
      <c r="O222" s="2">
        <v>5</v>
      </c>
      <c r="P222" s="2">
        <v>16827.349999999999</v>
      </c>
      <c r="Q222" s="2">
        <v>13790.13</v>
      </c>
      <c r="R222" s="2">
        <v>3037.22</v>
      </c>
      <c r="S222" t="s">
        <v>37</v>
      </c>
      <c r="T222">
        <v>4</v>
      </c>
      <c r="U222" t="s">
        <v>51</v>
      </c>
      <c r="V222" t="s">
        <v>86</v>
      </c>
      <c r="W222" s="3">
        <f>Table1[[#This Row],[Profit]]/Table1[[#This Row],[Sales]]</f>
        <v>0.18049306634734524</v>
      </c>
      <c r="X222" t="str">
        <f>IF(Table1[[#This Row],[Sales]]&gt;=30000,"High Value",IF(Table1[[#This Row],[Sales]]&gt;=15000,"Medium Value","Low Value"))</f>
        <v>Medium Value</v>
      </c>
      <c r="Y222" t="str">
        <f>IF(Table1[[#This Row],[Quantity]]&gt;=3,"Bulk Order","Regular Order")</f>
        <v>Regular Order</v>
      </c>
      <c r="Z222" t="str">
        <f>TEXT(Table1[[#This Row],[Order Date]],"dddd")</f>
        <v>Sunday</v>
      </c>
    </row>
    <row r="223" spans="1:26" ht="14.4" x14ac:dyDescent="0.3">
      <c r="A223" t="s">
        <v>697</v>
      </c>
      <c r="B223" t="s">
        <v>698</v>
      </c>
      <c r="C223" s="2">
        <v>46161</v>
      </c>
      <c r="D223" t="s">
        <v>28</v>
      </c>
      <c r="E223" t="s">
        <v>43</v>
      </c>
      <c r="F223" t="s">
        <v>429</v>
      </c>
      <c r="G223" t="s">
        <v>408</v>
      </c>
      <c r="H223" t="s">
        <v>46</v>
      </c>
      <c r="I223" t="s">
        <v>33</v>
      </c>
      <c r="J223" t="s">
        <v>47</v>
      </c>
      <c r="K223" t="s">
        <v>69</v>
      </c>
      <c r="L223" t="s">
        <v>70</v>
      </c>
      <c r="M223">
        <v>1</v>
      </c>
      <c r="N223">
        <v>9322</v>
      </c>
      <c r="O223" s="2">
        <v>0</v>
      </c>
      <c r="P223" s="2">
        <v>9322</v>
      </c>
      <c r="Q223" s="2">
        <v>7291.77</v>
      </c>
      <c r="R223" s="2">
        <v>2030.23</v>
      </c>
      <c r="S223" t="s">
        <v>81</v>
      </c>
      <c r="T223">
        <v>4</v>
      </c>
      <c r="U223" t="s">
        <v>51</v>
      </c>
      <c r="V223" t="s">
        <v>75</v>
      </c>
      <c r="W223" s="3">
        <f>Table1[[#This Row],[Profit]]/Table1[[#This Row],[Sales]]</f>
        <v>0.21778910105127655</v>
      </c>
      <c r="X223" t="str">
        <f>IF(Table1[[#This Row],[Sales]]&gt;=30000,"High Value",IF(Table1[[#This Row],[Sales]]&gt;=15000,"Medium Value","Low Value"))</f>
        <v>Low Value</v>
      </c>
      <c r="Y223" t="str">
        <f>IF(Table1[[#This Row],[Quantity]]&gt;=3,"Bulk Order","Regular Order")</f>
        <v>Regular Order</v>
      </c>
      <c r="Z223" t="str">
        <f>TEXT(Table1[[#This Row],[Order Date]],"dddd")</f>
        <v>Tuesday</v>
      </c>
    </row>
    <row r="224" spans="1:26" ht="14.4" x14ac:dyDescent="0.3">
      <c r="A224" t="s">
        <v>699</v>
      </c>
      <c r="B224" t="s">
        <v>700</v>
      </c>
      <c r="C224" s="2">
        <v>46196</v>
      </c>
      <c r="D224" t="s">
        <v>42</v>
      </c>
      <c r="E224" t="s">
        <v>29</v>
      </c>
      <c r="F224" t="s">
        <v>341</v>
      </c>
      <c r="G224" t="s">
        <v>104</v>
      </c>
      <c r="H224" t="s">
        <v>32</v>
      </c>
      <c r="I224" t="s">
        <v>33</v>
      </c>
      <c r="J224" t="s">
        <v>59</v>
      </c>
      <c r="K224" t="s">
        <v>60</v>
      </c>
      <c r="L224" t="s">
        <v>61</v>
      </c>
      <c r="M224">
        <v>1</v>
      </c>
      <c r="N224">
        <v>16243</v>
      </c>
      <c r="O224" s="2">
        <v>5</v>
      </c>
      <c r="P224" s="2">
        <v>15430.85</v>
      </c>
      <c r="Q224" s="2">
        <v>12213.78</v>
      </c>
      <c r="R224" s="2">
        <v>3217.07</v>
      </c>
      <c r="S224" t="s">
        <v>37</v>
      </c>
      <c r="T224">
        <v>4</v>
      </c>
      <c r="U224" t="s">
        <v>51</v>
      </c>
      <c r="V224" t="s">
        <v>86</v>
      </c>
      <c r="W224" s="3">
        <f>Table1[[#This Row],[Profit]]/Table1[[#This Row],[Sales]]</f>
        <v>0.20848300644488152</v>
      </c>
      <c r="X224" t="str">
        <f>IF(Table1[[#This Row],[Sales]]&gt;=30000,"High Value",IF(Table1[[#This Row],[Sales]]&gt;=15000,"Medium Value","Low Value"))</f>
        <v>Medium Value</v>
      </c>
      <c r="Y224" t="str">
        <f>IF(Table1[[#This Row],[Quantity]]&gt;=3,"Bulk Order","Regular Order")</f>
        <v>Regular Order</v>
      </c>
      <c r="Z224" t="str">
        <f>TEXT(Table1[[#This Row],[Order Date]],"dddd")</f>
        <v>Tuesday</v>
      </c>
    </row>
    <row r="225" spans="1:26" ht="14.4" x14ac:dyDescent="0.3">
      <c r="A225" t="s">
        <v>701</v>
      </c>
      <c r="B225" t="s">
        <v>702</v>
      </c>
      <c r="C225" s="2">
        <v>46172</v>
      </c>
      <c r="D225" t="s">
        <v>28</v>
      </c>
      <c r="E225" t="s">
        <v>78</v>
      </c>
      <c r="F225" t="s">
        <v>547</v>
      </c>
      <c r="G225" t="s">
        <v>245</v>
      </c>
      <c r="H225" t="s">
        <v>46</v>
      </c>
      <c r="I225" t="s">
        <v>33</v>
      </c>
      <c r="J225" t="s">
        <v>59</v>
      </c>
      <c r="K225" t="s">
        <v>60</v>
      </c>
      <c r="L225" t="s">
        <v>61</v>
      </c>
      <c r="M225">
        <v>2</v>
      </c>
      <c r="N225">
        <v>15594</v>
      </c>
      <c r="O225" s="2">
        <v>0</v>
      </c>
      <c r="P225" s="2">
        <v>31188</v>
      </c>
      <c r="Q225" s="2">
        <v>24710.07</v>
      </c>
      <c r="R225" s="2">
        <v>6477.93</v>
      </c>
      <c r="S225" t="s">
        <v>50</v>
      </c>
      <c r="T225">
        <v>3</v>
      </c>
      <c r="U225" t="s">
        <v>51</v>
      </c>
      <c r="V225" t="s">
        <v>75</v>
      </c>
      <c r="W225" s="3">
        <f>Table1[[#This Row],[Profit]]/Table1[[#This Row],[Sales]]</f>
        <v>0.20770584840323203</v>
      </c>
      <c r="X225" t="str">
        <f>IF(Table1[[#This Row],[Sales]]&gt;=30000,"High Value",IF(Table1[[#This Row],[Sales]]&gt;=15000,"Medium Value","Low Value"))</f>
        <v>High Value</v>
      </c>
      <c r="Y225" t="str">
        <f>IF(Table1[[#This Row],[Quantity]]&gt;=3,"Bulk Order","Regular Order")</f>
        <v>Regular Order</v>
      </c>
      <c r="Z225" t="str">
        <f>TEXT(Table1[[#This Row],[Order Date]],"dddd")</f>
        <v>Saturday</v>
      </c>
    </row>
    <row r="226" spans="1:26" ht="14.4" x14ac:dyDescent="0.3">
      <c r="A226" t="s">
        <v>703</v>
      </c>
      <c r="B226" t="s">
        <v>704</v>
      </c>
      <c r="C226" s="2">
        <v>46202</v>
      </c>
      <c r="D226" t="s">
        <v>42</v>
      </c>
      <c r="E226" t="s">
        <v>43</v>
      </c>
      <c r="F226" t="s">
        <v>325</v>
      </c>
      <c r="G226" t="s">
        <v>286</v>
      </c>
      <c r="H226" t="s">
        <v>46</v>
      </c>
      <c r="I226" t="s">
        <v>58</v>
      </c>
      <c r="J226" t="s">
        <v>59</v>
      </c>
      <c r="K226" t="s">
        <v>60</v>
      </c>
      <c r="L226" t="s">
        <v>61</v>
      </c>
      <c r="M226">
        <v>3</v>
      </c>
      <c r="N226">
        <v>15552</v>
      </c>
      <c r="O226" s="2">
        <v>15</v>
      </c>
      <c r="P226" s="2">
        <v>39657.599999999999</v>
      </c>
      <c r="Q226" s="2">
        <v>31815.77</v>
      </c>
      <c r="R226" s="2">
        <v>7841.83</v>
      </c>
      <c r="S226" t="s">
        <v>50</v>
      </c>
      <c r="T226">
        <v>5</v>
      </c>
      <c r="U226" t="s">
        <v>51</v>
      </c>
      <c r="V226" t="s">
        <v>52</v>
      </c>
      <c r="W226" s="3">
        <f>Table1[[#This Row],[Profit]]/Table1[[#This Row],[Sales]]</f>
        <v>0.19773839062373921</v>
      </c>
      <c r="X226" t="str">
        <f>IF(Table1[[#This Row],[Sales]]&gt;=30000,"High Value",IF(Table1[[#This Row],[Sales]]&gt;=15000,"Medium Value","Low Value"))</f>
        <v>High Value</v>
      </c>
      <c r="Y226" t="str">
        <f>IF(Table1[[#This Row],[Quantity]]&gt;=3,"Bulk Order","Regular Order")</f>
        <v>Bulk Order</v>
      </c>
      <c r="Z226" t="str">
        <f>TEXT(Table1[[#This Row],[Order Date]],"dddd")</f>
        <v>Monday</v>
      </c>
    </row>
    <row r="227" spans="1:26" ht="14.4" x14ac:dyDescent="0.3">
      <c r="A227" t="s">
        <v>705</v>
      </c>
      <c r="B227" t="s">
        <v>706</v>
      </c>
      <c r="C227" s="2">
        <v>46199</v>
      </c>
      <c r="D227" t="s">
        <v>42</v>
      </c>
      <c r="E227" t="s">
        <v>66</v>
      </c>
      <c r="F227" t="s">
        <v>242</v>
      </c>
      <c r="G227" t="s">
        <v>134</v>
      </c>
      <c r="H227" t="s">
        <v>46</v>
      </c>
      <c r="I227" t="s">
        <v>33</v>
      </c>
      <c r="J227" t="s">
        <v>59</v>
      </c>
      <c r="K227" t="s">
        <v>60</v>
      </c>
      <c r="L227" t="s">
        <v>61</v>
      </c>
      <c r="M227">
        <v>1</v>
      </c>
      <c r="N227">
        <v>17127</v>
      </c>
      <c r="O227" s="2">
        <v>0</v>
      </c>
      <c r="P227" s="2">
        <v>17127</v>
      </c>
      <c r="Q227" s="2">
        <v>13958.32</v>
      </c>
      <c r="R227" s="2">
        <v>3168.68</v>
      </c>
      <c r="S227" t="s">
        <v>37</v>
      </c>
      <c r="T227">
        <v>3</v>
      </c>
      <c r="U227" t="s">
        <v>51</v>
      </c>
      <c r="V227" t="s">
        <v>116</v>
      </c>
      <c r="W227" s="3">
        <f>Table1[[#This Row],[Profit]]/Table1[[#This Row],[Sales]]</f>
        <v>0.1850108016582005</v>
      </c>
      <c r="X227" t="str">
        <f>IF(Table1[[#This Row],[Sales]]&gt;=30000,"High Value",IF(Table1[[#This Row],[Sales]]&gt;=15000,"Medium Value","Low Value"))</f>
        <v>Medium Value</v>
      </c>
      <c r="Y227" t="str">
        <f>IF(Table1[[#This Row],[Quantity]]&gt;=3,"Bulk Order","Regular Order")</f>
        <v>Regular Order</v>
      </c>
      <c r="Z227" t="str">
        <f>TEXT(Table1[[#This Row],[Order Date]],"dddd")</f>
        <v>Friday</v>
      </c>
    </row>
    <row r="228" spans="1:26" ht="14.4" x14ac:dyDescent="0.3">
      <c r="A228" t="s">
        <v>707</v>
      </c>
      <c r="B228" t="s">
        <v>708</v>
      </c>
      <c r="C228" s="2">
        <v>46161</v>
      </c>
      <c r="D228" t="s">
        <v>28</v>
      </c>
      <c r="E228" t="s">
        <v>55</v>
      </c>
      <c r="F228" t="s">
        <v>405</v>
      </c>
      <c r="G228" t="s">
        <v>261</v>
      </c>
      <c r="H228" t="s">
        <v>32</v>
      </c>
      <c r="I228" t="s">
        <v>58</v>
      </c>
      <c r="J228" t="s">
        <v>149</v>
      </c>
      <c r="K228" t="s">
        <v>150</v>
      </c>
      <c r="L228" t="s">
        <v>151</v>
      </c>
      <c r="M228">
        <v>5</v>
      </c>
      <c r="N228">
        <v>2884</v>
      </c>
      <c r="O228" s="2">
        <v>15</v>
      </c>
      <c r="P228" s="2">
        <v>12257</v>
      </c>
      <c r="Q228" s="2">
        <v>8926.09</v>
      </c>
      <c r="R228" s="2">
        <v>3330.91</v>
      </c>
      <c r="S228" t="s">
        <v>37</v>
      </c>
      <c r="T228">
        <v>5</v>
      </c>
      <c r="U228" t="s">
        <v>51</v>
      </c>
      <c r="V228" t="s">
        <v>63</v>
      </c>
      <c r="W228" s="3">
        <f>Table1[[#This Row],[Profit]]/Table1[[#This Row],[Sales]]</f>
        <v>0.27175573141878107</v>
      </c>
      <c r="X228" t="str">
        <f>IF(Table1[[#This Row],[Sales]]&gt;=30000,"High Value",IF(Table1[[#This Row],[Sales]]&gt;=15000,"Medium Value","Low Value"))</f>
        <v>Low Value</v>
      </c>
      <c r="Y228" t="str">
        <f>IF(Table1[[#This Row],[Quantity]]&gt;=3,"Bulk Order","Regular Order")</f>
        <v>Bulk Order</v>
      </c>
      <c r="Z228" t="str">
        <f>TEXT(Table1[[#This Row],[Order Date]],"dddd")</f>
        <v>Tuesday</v>
      </c>
    </row>
    <row r="229" spans="1:26" ht="14.4" x14ac:dyDescent="0.3">
      <c r="A229" t="s">
        <v>709</v>
      </c>
      <c r="B229" t="s">
        <v>710</v>
      </c>
      <c r="C229" s="2">
        <v>46176</v>
      </c>
      <c r="D229" t="s">
        <v>42</v>
      </c>
      <c r="E229" t="s">
        <v>78</v>
      </c>
      <c r="F229" t="s">
        <v>93</v>
      </c>
      <c r="G229" t="s">
        <v>99</v>
      </c>
      <c r="H229" t="s">
        <v>46</v>
      </c>
      <c r="I229" t="s">
        <v>58</v>
      </c>
      <c r="J229" t="s">
        <v>47</v>
      </c>
      <c r="K229" t="s">
        <v>48</v>
      </c>
      <c r="L229" t="s">
        <v>49</v>
      </c>
      <c r="M229">
        <v>5</v>
      </c>
      <c r="N229">
        <v>8343</v>
      </c>
      <c r="O229" s="2">
        <v>10</v>
      </c>
      <c r="P229" s="2">
        <v>37543.5</v>
      </c>
      <c r="Q229" s="2">
        <v>30703.86</v>
      </c>
      <c r="R229" s="2">
        <v>6839.64</v>
      </c>
      <c r="S229" t="s">
        <v>37</v>
      </c>
      <c r="T229">
        <v>4</v>
      </c>
      <c r="U229" t="s">
        <v>51</v>
      </c>
      <c r="V229" t="s">
        <v>86</v>
      </c>
      <c r="W229" s="3">
        <f>Table1[[#This Row],[Profit]]/Table1[[#This Row],[Sales]]</f>
        <v>0.18217907227615968</v>
      </c>
      <c r="X229" t="str">
        <f>IF(Table1[[#This Row],[Sales]]&gt;=30000,"High Value",IF(Table1[[#This Row],[Sales]]&gt;=15000,"Medium Value","Low Value"))</f>
        <v>High Value</v>
      </c>
      <c r="Y229" t="str">
        <f>IF(Table1[[#This Row],[Quantity]]&gt;=3,"Bulk Order","Regular Order")</f>
        <v>Bulk Order</v>
      </c>
      <c r="Z229" t="str">
        <f>TEXT(Table1[[#This Row],[Order Date]],"dddd")</f>
        <v>Wednesday</v>
      </c>
    </row>
    <row r="230" spans="1:26" ht="14.4" x14ac:dyDescent="0.3">
      <c r="A230" t="s">
        <v>711</v>
      </c>
      <c r="B230" t="s">
        <v>712</v>
      </c>
      <c r="C230" s="2">
        <v>46182</v>
      </c>
      <c r="D230" t="s">
        <v>42</v>
      </c>
      <c r="E230" t="s">
        <v>43</v>
      </c>
      <c r="F230" t="s">
        <v>713</v>
      </c>
      <c r="G230" t="s">
        <v>417</v>
      </c>
      <c r="H230" t="s">
        <v>46</v>
      </c>
      <c r="I230" t="s">
        <v>58</v>
      </c>
      <c r="J230" t="s">
        <v>59</v>
      </c>
      <c r="K230" t="s">
        <v>60</v>
      </c>
      <c r="L230" t="s">
        <v>61</v>
      </c>
      <c r="M230">
        <v>3</v>
      </c>
      <c r="N230">
        <v>17624</v>
      </c>
      <c r="O230" s="2">
        <v>5</v>
      </c>
      <c r="P230" s="2">
        <v>50228.4</v>
      </c>
      <c r="Q230" s="2">
        <v>39450.050000000003</v>
      </c>
      <c r="R230" s="2">
        <v>10778.35</v>
      </c>
      <c r="S230" t="s">
        <v>50</v>
      </c>
      <c r="T230">
        <v>5</v>
      </c>
      <c r="U230" t="s">
        <v>51</v>
      </c>
      <c r="V230" t="s">
        <v>75</v>
      </c>
      <c r="W230" s="3">
        <f>Table1[[#This Row],[Profit]]/Table1[[#This Row],[Sales]]</f>
        <v>0.21458676764539583</v>
      </c>
      <c r="X230" t="str">
        <f>IF(Table1[[#This Row],[Sales]]&gt;=30000,"High Value",IF(Table1[[#This Row],[Sales]]&gt;=15000,"Medium Value","Low Value"))</f>
        <v>High Value</v>
      </c>
      <c r="Y230" t="str">
        <f>IF(Table1[[#This Row],[Quantity]]&gt;=3,"Bulk Order","Regular Order")</f>
        <v>Bulk Order</v>
      </c>
      <c r="Z230" t="str">
        <f>TEXT(Table1[[#This Row],[Order Date]],"dddd")</f>
        <v>Tuesday</v>
      </c>
    </row>
    <row r="231" spans="1:26" ht="14.4" x14ac:dyDescent="0.3">
      <c r="A231" t="s">
        <v>714</v>
      </c>
      <c r="B231" t="s">
        <v>715</v>
      </c>
      <c r="C231" s="2">
        <v>46161</v>
      </c>
      <c r="D231" t="s">
        <v>28</v>
      </c>
      <c r="E231" t="s">
        <v>66</v>
      </c>
      <c r="F231" t="s">
        <v>716</v>
      </c>
      <c r="G231" t="s">
        <v>104</v>
      </c>
      <c r="H231" t="s">
        <v>32</v>
      </c>
      <c r="I231" t="s">
        <v>33</v>
      </c>
      <c r="J231" t="s">
        <v>47</v>
      </c>
      <c r="K231" t="s">
        <v>69</v>
      </c>
      <c r="L231" t="s">
        <v>70</v>
      </c>
      <c r="M231">
        <v>1</v>
      </c>
      <c r="N231">
        <v>8268</v>
      </c>
      <c r="O231" s="2">
        <v>10</v>
      </c>
      <c r="P231" s="2">
        <v>7441.2</v>
      </c>
      <c r="Q231" s="2">
        <v>5975.68</v>
      </c>
      <c r="R231" s="2">
        <v>1465.52</v>
      </c>
      <c r="S231" t="s">
        <v>37</v>
      </c>
      <c r="T231">
        <v>5</v>
      </c>
      <c r="U231" t="s">
        <v>51</v>
      </c>
      <c r="V231" t="s">
        <v>63</v>
      </c>
      <c r="W231" s="3">
        <f>Table1[[#This Row],[Profit]]/Table1[[#This Row],[Sales]]</f>
        <v>0.19694672902220073</v>
      </c>
      <c r="X231" t="str">
        <f>IF(Table1[[#This Row],[Sales]]&gt;=30000,"High Value",IF(Table1[[#This Row],[Sales]]&gt;=15000,"Medium Value","Low Value"))</f>
        <v>Low Value</v>
      </c>
      <c r="Y231" t="str">
        <f>IF(Table1[[#This Row],[Quantity]]&gt;=3,"Bulk Order","Regular Order")</f>
        <v>Regular Order</v>
      </c>
      <c r="Z231" t="str">
        <f>TEXT(Table1[[#This Row],[Order Date]],"dddd")</f>
        <v>Tuesday</v>
      </c>
    </row>
    <row r="232" spans="1:26" ht="14.4" x14ac:dyDescent="0.3">
      <c r="A232" t="s">
        <v>717</v>
      </c>
      <c r="B232" t="s">
        <v>718</v>
      </c>
      <c r="C232" s="2">
        <v>46180</v>
      </c>
      <c r="D232" t="s">
        <v>42</v>
      </c>
      <c r="E232" t="s">
        <v>55</v>
      </c>
      <c r="F232" t="s">
        <v>570</v>
      </c>
      <c r="G232" t="s">
        <v>322</v>
      </c>
      <c r="H232" t="s">
        <v>32</v>
      </c>
      <c r="I232" t="s">
        <v>33</v>
      </c>
      <c r="J232" t="s">
        <v>149</v>
      </c>
      <c r="K232" t="s">
        <v>150</v>
      </c>
      <c r="L232" t="s">
        <v>151</v>
      </c>
      <c r="M232">
        <v>2</v>
      </c>
      <c r="N232">
        <v>3037</v>
      </c>
      <c r="O232" s="2">
        <v>0</v>
      </c>
      <c r="P232" s="2">
        <v>6074</v>
      </c>
      <c r="Q232" s="2">
        <v>4392.68</v>
      </c>
      <c r="R232" s="2">
        <v>1681.32</v>
      </c>
      <c r="S232" t="s">
        <v>37</v>
      </c>
      <c r="T232">
        <v>5</v>
      </c>
      <c r="U232" t="s">
        <v>51</v>
      </c>
      <c r="V232" t="s">
        <v>52</v>
      </c>
      <c r="W232" s="3">
        <f>Table1[[#This Row],[Profit]]/Table1[[#This Row],[Sales]]</f>
        <v>0.27680605861047086</v>
      </c>
      <c r="X232" t="str">
        <f>IF(Table1[[#This Row],[Sales]]&gt;=30000,"High Value",IF(Table1[[#This Row],[Sales]]&gt;=15000,"Medium Value","Low Value"))</f>
        <v>Low Value</v>
      </c>
      <c r="Y232" t="str">
        <f>IF(Table1[[#This Row],[Quantity]]&gt;=3,"Bulk Order","Regular Order")</f>
        <v>Regular Order</v>
      </c>
      <c r="Z232" t="str">
        <f>TEXT(Table1[[#This Row],[Order Date]],"dddd")</f>
        <v>Sunday</v>
      </c>
    </row>
    <row r="233" spans="1:26" ht="14.4" x14ac:dyDescent="0.3">
      <c r="A233" t="s">
        <v>719</v>
      </c>
      <c r="B233" t="s">
        <v>720</v>
      </c>
      <c r="C233" s="2">
        <v>46149</v>
      </c>
      <c r="D233" t="s">
        <v>28</v>
      </c>
      <c r="E233" t="s">
        <v>78</v>
      </c>
      <c r="F233" t="s">
        <v>432</v>
      </c>
      <c r="G233" t="s">
        <v>108</v>
      </c>
      <c r="H233" t="s">
        <v>32</v>
      </c>
      <c r="I233" t="s">
        <v>33</v>
      </c>
      <c r="J233" t="s">
        <v>47</v>
      </c>
      <c r="K233" t="s">
        <v>48</v>
      </c>
      <c r="L233" t="s">
        <v>49</v>
      </c>
      <c r="M233">
        <v>2</v>
      </c>
      <c r="N233">
        <v>7498</v>
      </c>
      <c r="O233" s="2">
        <v>10</v>
      </c>
      <c r="P233" s="2">
        <v>13496.4</v>
      </c>
      <c r="Q233" s="2">
        <v>11027.17</v>
      </c>
      <c r="R233" s="2">
        <v>2469.23</v>
      </c>
      <c r="S233" t="s">
        <v>37</v>
      </c>
      <c r="T233">
        <v>5</v>
      </c>
      <c r="U233" t="s">
        <v>51</v>
      </c>
      <c r="V233" t="s">
        <v>52</v>
      </c>
      <c r="W233" s="3">
        <f>Table1[[#This Row],[Profit]]/Table1[[#This Row],[Sales]]</f>
        <v>0.18295471384961917</v>
      </c>
      <c r="X233" t="str">
        <f>IF(Table1[[#This Row],[Sales]]&gt;=30000,"High Value",IF(Table1[[#This Row],[Sales]]&gt;=15000,"Medium Value","Low Value"))</f>
        <v>Low Value</v>
      </c>
      <c r="Y233" t="str">
        <f>IF(Table1[[#This Row],[Quantity]]&gt;=3,"Bulk Order","Regular Order")</f>
        <v>Regular Order</v>
      </c>
      <c r="Z233" t="str">
        <f>TEXT(Table1[[#This Row],[Order Date]],"dddd")</f>
        <v>Thursday</v>
      </c>
    </row>
    <row r="234" spans="1:26" ht="14.4" x14ac:dyDescent="0.3">
      <c r="A234" t="s">
        <v>721</v>
      </c>
      <c r="B234" t="s">
        <v>722</v>
      </c>
      <c r="C234" s="2">
        <v>46178</v>
      </c>
      <c r="D234" t="s">
        <v>42</v>
      </c>
      <c r="E234" t="s">
        <v>78</v>
      </c>
      <c r="F234" t="s">
        <v>509</v>
      </c>
      <c r="G234" t="s">
        <v>408</v>
      </c>
      <c r="H234" t="s">
        <v>46</v>
      </c>
      <c r="I234" t="s">
        <v>58</v>
      </c>
      <c r="J234" t="s">
        <v>59</v>
      </c>
      <c r="K234" t="s">
        <v>95</v>
      </c>
      <c r="L234" t="s">
        <v>36</v>
      </c>
      <c r="M234">
        <v>3</v>
      </c>
      <c r="N234">
        <v>16571</v>
      </c>
      <c r="O234" s="2">
        <v>10</v>
      </c>
      <c r="P234" s="2">
        <v>44741.7</v>
      </c>
      <c r="Q234" s="2">
        <v>35162.629999999997</v>
      </c>
      <c r="R234" s="2">
        <v>9579.07</v>
      </c>
      <c r="S234" t="s">
        <v>50</v>
      </c>
      <c r="T234">
        <v>4</v>
      </c>
      <c r="U234" t="s">
        <v>51</v>
      </c>
      <c r="V234" t="s">
        <v>39</v>
      </c>
      <c r="W234" s="3">
        <f>Table1[[#This Row],[Profit]]/Table1[[#This Row],[Sales]]</f>
        <v>0.21409713980470121</v>
      </c>
      <c r="X234" t="str">
        <f>IF(Table1[[#This Row],[Sales]]&gt;=30000,"High Value",IF(Table1[[#This Row],[Sales]]&gt;=15000,"Medium Value","Low Value"))</f>
        <v>High Value</v>
      </c>
      <c r="Y234" t="str">
        <f>IF(Table1[[#This Row],[Quantity]]&gt;=3,"Bulk Order","Regular Order")</f>
        <v>Bulk Order</v>
      </c>
      <c r="Z234" t="str">
        <f>TEXT(Table1[[#This Row],[Order Date]],"dddd")</f>
        <v>Friday</v>
      </c>
    </row>
    <row r="235" spans="1:26" ht="14.4" x14ac:dyDescent="0.3">
      <c r="A235" t="s">
        <v>723</v>
      </c>
      <c r="B235" t="s">
        <v>724</v>
      </c>
      <c r="C235" s="2">
        <v>46178</v>
      </c>
      <c r="D235" t="s">
        <v>42</v>
      </c>
      <c r="E235" t="s">
        <v>66</v>
      </c>
      <c r="F235" t="s">
        <v>532</v>
      </c>
      <c r="G235" t="s">
        <v>182</v>
      </c>
      <c r="H235" t="s">
        <v>46</v>
      </c>
      <c r="I235" t="s">
        <v>33</v>
      </c>
      <c r="J235" t="s">
        <v>59</v>
      </c>
      <c r="K235" t="s">
        <v>95</v>
      </c>
      <c r="L235" t="s">
        <v>36</v>
      </c>
      <c r="M235">
        <v>1</v>
      </c>
      <c r="N235">
        <v>16483</v>
      </c>
      <c r="O235" s="2">
        <v>5</v>
      </c>
      <c r="P235" s="2">
        <v>15658.85</v>
      </c>
      <c r="Q235" s="2">
        <v>12600.44</v>
      </c>
      <c r="R235" s="2">
        <v>3058.41</v>
      </c>
      <c r="S235" t="s">
        <v>81</v>
      </c>
      <c r="T235">
        <v>3</v>
      </c>
      <c r="U235" t="s">
        <v>51</v>
      </c>
      <c r="V235" t="s">
        <v>75</v>
      </c>
      <c r="W235" s="3">
        <f>Table1[[#This Row],[Profit]]/Table1[[#This Row],[Sales]]</f>
        <v>0.19531510934711041</v>
      </c>
      <c r="X235" t="str">
        <f>IF(Table1[[#This Row],[Sales]]&gt;=30000,"High Value",IF(Table1[[#This Row],[Sales]]&gt;=15000,"Medium Value","Low Value"))</f>
        <v>Medium Value</v>
      </c>
      <c r="Y235" t="str">
        <f>IF(Table1[[#This Row],[Quantity]]&gt;=3,"Bulk Order","Regular Order")</f>
        <v>Regular Order</v>
      </c>
      <c r="Z235" t="str">
        <f>TEXT(Table1[[#This Row],[Order Date]],"dddd")</f>
        <v>Friday</v>
      </c>
    </row>
    <row r="236" spans="1:26" ht="14.4" x14ac:dyDescent="0.3">
      <c r="A236" t="s">
        <v>725</v>
      </c>
      <c r="B236" t="s">
        <v>726</v>
      </c>
      <c r="C236" s="2">
        <v>46162</v>
      </c>
      <c r="D236" t="s">
        <v>28</v>
      </c>
      <c r="E236" t="s">
        <v>66</v>
      </c>
      <c r="F236" t="s">
        <v>330</v>
      </c>
      <c r="G236" t="s">
        <v>523</v>
      </c>
      <c r="H236" t="s">
        <v>46</v>
      </c>
      <c r="I236" t="s">
        <v>33</v>
      </c>
      <c r="J236" t="s">
        <v>59</v>
      </c>
      <c r="K236" t="s">
        <v>95</v>
      </c>
      <c r="L236" t="s">
        <v>36</v>
      </c>
      <c r="M236">
        <v>1</v>
      </c>
      <c r="N236">
        <v>14681</v>
      </c>
      <c r="O236" s="2">
        <v>0</v>
      </c>
      <c r="P236" s="2">
        <v>14681</v>
      </c>
      <c r="Q236" s="2">
        <v>11552.13</v>
      </c>
      <c r="R236" s="2">
        <v>3128.87</v>
      </c>
      <c r="S236" t="s">
        <v>62</v>
      </c>
      <c r="T236">
        <v>5</v>
      </c>
      <c r="U236" t="s">
        <v>51</v>
      </c>
      <c r="V236" t="s">
        <v>116</v>
      </c>
      <c r="W236" s="3">
        <f>Table1[[#This Row],[Profit]]/Table1[[#This Row],[Sales]]</f>
        <v>0.21312376541107553</v>
      </c>
      <c r="X236" t="str">
        <f>IF(Table1[[#This Row],[Sales]]&gt;=30000,"High Value",IF(Table1[[#This Row],[Sales]]&gt;=15000,"Medium Value","Low Value"))</f>
        <v>Low Value</v>
      </c>
      <c r="Y236" t="str">
        <f>IF(Table1[[#This Row],[Quantity]]&gt;=3,"Bulk Order","Regular Order")</f>
        <v>Regular Order</v>
      </c>
      <c r="Z236" t="str">
        <f>TEXT(Table1[[#This Row],[Order Date]],"dddd")</f>
        <v>Wednesday</v>
      </c>
    </row>
    <row r="237" spans="1:26" ht="14.4" x14ac:dyDescent="0.3">
      <c r="A237" t="s">
        <v>727</v>
      </c>
      <c r="B237" t="s">
        <v>728</v>
      </c>
      <c r="C237" s="2">
        <v>46200</v>
      </c>
      <c r="D237" t="s">
        <v>42</v>
      </c>
      <c r="E237" t="s">
        <v>133</v>
      </c>
      <c r="F237" t="s">
        <v>160</v>
      </c>
      <c r="G237" t="s">
        <v>211</v>
      </c>
      <c r="H237" t="s">
        <v>32</v>
      </c>
      <c r="I237" t="s">
        <v>58</v>
      </c>
      <c r="J237" t="s">
        <v>59</v>
      </c>
      <c r="K237" t="s">
        <v>95</v>
      </c>
      <c r="L237" t="s">
        <v>36</v>
      </c>
      <c r="M237">
        <v>4</v>
      </c>
      <c r="N237">
        <v>15721</v>
      </c>
      <c r="O237" s="2">
        <v>5</v>
      </c>
      <c r="P237" s="2">
        <v>59739.8</v>
      </c>
      <c r="Q237" s="2">
        <v>47579.63</v>
      </c>
      <c r="R237" s="2">
        <v>12160.17</v>
      </c>
      <c r="S237" t="s">
        <v>50</v>
      </c>
      <c r="T237">
        <v>5</v>
      </c>
      <c r="U237" t="s">
        <v>51</v>
      </c>
      <c r="V237" t="s">
        <v>75</v>
      </c>
      <c r="W237" s="3">
        <f>Table1[[#This Row],[Profit]]/Table1[[#This Row],[Sales]]</f>
        <v>0.20355223820635487</v>
      </c>
      <c r="X237" t="str">
        <f>IF(Table1[[#This Row],[Sales]]&gt;=30000,"High Value",IF(Table1[[#This Row],[Sales]]&gt;=15000,"Medium Value","Low Value"))</f>
        <v>High Value</v>
      </c>
      <c r="Y237" t="str">
        <f>IF(Table1[[#This Row],[Quantity]]&gt;=3,"Bulk Order","Regular Order")</f>
        <v>Bulk Order</v>
      </c>
      <c r="Z237" t="str">
        <f>TEXT(Table1[[#This Row],[Order Date]],"dddd")</f>
        <v>Saturday</v>
      </c>
    </row>
    <row r="238" spans="1:26" ht="14.4" x14ac:dyDescent="0.3">
      <c r="A238" t="s">
        <v>729</v>
      </c>
      <c r="B238" t="s">
        <v>730</v>
      </c>
      <c r="C238" s="2">
        <v>46170</v>
      </c>
      <c r="D238" t="s">
        <v>28</v>
      </c>
      <c r="E238" t="s">
        <v>78</v>
      </c>
      <c r="F238" t="s">
        <v>73</v>
      </c>
      <c r="G238" t="s">
        <v>611</v>
      </c>
      <c r="H238" t="s">
        <v>46</v>
      </c>
      <c r="I238" t="s">
        <v>33</v>
      </c>
      <c r="J238" t="s">
        <v>47</v>
      </c>
      <c r="K238" t="s">
        <v>69</v>
      </c>
      <c r="L238" t="s">
        <v>70</v>
      </c>
      <c r="M238">
        <v>2</v>
      </c>
      <c r="N238">
        <v>8250</v>
      </c>
      <c r="O238" s="2">
        <v>0</v>
      </c>
      <c r="P238" s="2">
        <v>16500</v>
      </c>
      <c r="Q238" s="2">
        <v>13347.71</v>
      </c>
      <c r="R238" s="2">
        <v>3152.29</v>
      </c>
      <c r="S238" t="s">
        <v>37</v>
      </c>
      <c r="T238">
        <v>5</v>
      </c>
      <c r="U238" t="s">
        <v>51</v>
      </c>
      <c r="V238" t="s">
        <v>39</v>
      </c>
      <c r="W238" s="3">
        <f>Table1[[#This Row],[Profit]]/Table1[[#This Row],[Sales]]</f>
        <v>0.19104787878787879</v>
      </c>
      <c r="X238" t="str">
        <f>IF(Table1[[#This Row],[Sales]]&gt;=30000,"High Value",IF(Table1[[#This Row],[Sales]]&gt;=15000,"Medium Value","Low Value"))</f>
        <v>Medium Value</v>
      </c>
      <c r="Y238" t="str">
        <f>IF(Table1[[#This Row],[Quantity]]&gt;=3,"Bulk Order","Regular Order")</f>
        <v>Regular Order</v>
      </c>
      <c r="Z238" t="str">
        <f>TEXT(Table1[[#This Row],[Order Date]],"dddd")</f>
        <v>Thursday</v>
      </c>
    </row>
    <row r="239" spans="1:26" ht="14.4" x14ac:dyDescent="0.3">
      <c r="A239" t="s">
        <v>731</v>
      </c>
      <c r="B239" t="s">
        <v>732</v>
      </c>
      <c r="C239" s="2">
        <v>46160</v>
      </c>
      <c r="D239" t="s">
        <v>28</v>
      </c>
      <c r="E239" t="s">
        <v>66</v>
      </c>
      <c r="F239" t="s">
        <v>733</v>
      </c>
      <c r="G239" t="s">
        <v>68</v>
      </c>
      <c r="H239" t="s">
        <v>32</v>
      </c>
      <c r="I239" t="s">
        <v>33</v>
      </c>
      <c r="J239" t="s">
        <v>47</v>
      </c>
      <c r="K239" t="s">
        <v>48</v>
      </c>
      <c r="L239" t="s">
        <v>49</v>
      </c>
      <c r="M239">
        <v>1</v>
      </c>
      <c r="N239">
        <v>8723</v>
      </c>
      <c r="O239" s="2">
        <v>10</v>
      </c>
      <c r="P239" s="2">
        <v>7850.7</v>
      </c>
      <c r="Q239" s="2">
        <v>6215.62</v>
      </c>
      <c r="R239" s="2">
        <v>1635.08</v>
      </c>
      <c r="S239" t="s">
        <v>37</v>
      </c>
      <c r="T239">
        <v>5</v>
      </c>
      <c r="U239" t="s">
        <v>51</v>
      </c>
      <c r="V239" t="s">
        <v>86</v>
      </c>
      <c r="W239" s="3">
        <f>Table1[[#This Row],[Profit]]/Table1[[#This Row],[Sales]]</f>
        <v>0.20827187384564433</v>
      </c>
      <c r="X239" t="str">
        <f>IF(Table1[[#This Row],[Sales]]&gt;=30000,"High Value",IF(Table1[[#This Row],[Sales]]&gt;=15000,"Medium Value","Low Value"))</f>
        <v>Low Value</v>
      </c>
      <c r="Y239" t="str">
        <f>IF(Table1[[#This Row],[Quantity]]&gt;=3,"Bulk Order","Regular Order")</f>
        <v>Regular Order</v>
      </c>
      <c r="Z239" t="str">
        <f>TEXT(Table1[[#This Row],[Order Date]],"dddd")</f>
        <v>Monday</v>
      </c>
    </row>
    <row r="240" spans="1:26" ht="14.4" x14ac:dyDescent="0.3">
      <c r="A240" t="s">
        <v>734</v>
      </c>
      <c r="B240" t="s">
        <v>735</v>
      </c>
      <c r="C240" s="2">
        <v>46169</v>
      </c>
      <c r="D240" t="s">
        <v>28</v>
      </c>
      <c r="E240" t="s">
        <v>133</v>
      </c>
      <c r="F240" t="s">
        <v>736</v>
      </c>
      <c r="G240" t="s">
        <v>175</v>
      </c>
      <c r="H240" t="s">
        <v>32</v>
      </c>
      <c r="I240" t="s">
        <v>33</v>
      </c>
      <c r="J240" t="s">
        <v>169</v>
      </c>
      <c r="K240" t="s">
        <v>170</v>
      </c>
      <c r="L240" t="s">
        <v>171</v>
      </c>
      <c r="M240">
        <v>1</v>
      </c>
      <c r="N240">
        <v>9039</v>
      </c>
      <c r="O240" s="2">
        <v>0</v>
      </c>
      <c r="P240" s="2">
        <v>9039</v>
      </c>
      <c r="Q240" s="2">
        <v>7057.77</v>
      </c>
      <c r="R240" s="2">
        <v>1981.23</v>
      </c>
      <c r="S240" t="s">
        <v>81</v>
      </c>
      <c r="T240">
        <v>4</v>
      </c>
      <c r="U240" t="s">
        <v>51</v>
      </c>
      <c r="V240" t="s">
        <v>52</v>
      </c>
      <c r="W240" s="3">
        <f>Table1[[#This Row],[Profit]]/Table1[[#This Row],[Sales]]</f>
        <v>0.21918685695320278</v>
      </c>
      <c r="X240" t="str">
        <f>IF(Table1[[#This Row],[Sales]]&gt;=30000,"High Value",IF(Table1[[#This Row],[Sales]]&gt;=15000,"Medium Value","Low Value"))</f>
        <v>Low Value</v>
      </c>
      <c r="Y240" t="str">
        <f>IF(Table1[[#This Row],[Quantity]]&gt;=3,"Bulk Order","Regular Order")</f>
        <v>Regular Order</v>
      </c>
      <c r="Z240" t="str">
        <f>TEXT(Table1[[#This Row],[Order Date]],"dddd")</f>
        <v>Wednesday</v>
      </c>
    </row>
    <row r="241" spans="1:26" ht="14.4" x14ac:dyDescent="0.3">
      <c r="A241" t="s">
        <v>737</v>
      </c>
      <c r="B241" t="s">
        <v>738</v>
      </c>
      <c r="C241" s="2">
        <v>46198</v>
      </c>
      <c r="D241" t="s">
        <v>42</v>
      </c>
      <c r="E241" t="s">
        <v>66</v>
      </c>
      <c r="F241" t="s">
        <v>435</v>
      </c>
      <c r="G241" t="s">
        <v>292</v>
      </c>
      <c r="H241" t="s">
        <v>46</v>
      </c>
      <c r="I241" t="s">
        <v>58</v>
      </c>
      <c r="J241" t="s">
        <v>59</v>
      </c>
      <c r="K241" t="s">
        <v>95</v>
      </c>
      <c r="L241" t="s">
        <v>36</v>
      </c>
      <c r="M241">
        <v>4</v>
      </c>
      <c r="N241">
        <v>16801</v>
      </c>
      <c r="O241" s="2">
        <v>10</v>
      </c>
      <c r="P241" s="2">
        <v>60483.6</v>
      </c>
      <c r="Q241" s="2">
        <v>47258.92</v>
      </c>
      <c r="R241" s="2">
        <v>13224.68</v>
      </c>
      <c r="S241" t="s">
        <v>37</v>
      </c>
      <c r="T241">
        <v>5</v>
      </c>
      <c r="U241" t="s">
        <v>51</v>
      </c>
      <c r="V241" t="s">
        <v>52</v>
      </c>
      <c r="W241" s="3">
        <f>Table1[[#This Row],[Profit]]/Table1[[#This Row],[Sales]]</f>
        <v>0.2186490222142862</v>
      </c>
      <c r="X241" t="str">
        <f>IF(Table1[[#This Row],[Sales]]&gt;=30000,"High Value",IF(Table1[[#This Row],[Sales]]&gt;=15000,"Medium Value","Low Value"))</f>
        <v>High Value</v>
      </c>
      <c r="Y241" t="str">
        <f>IF(Table1[[#This Row],[Quantity]]&gt;=3,"Bulk Order","Regular Order")</f>
        <v>Bulk Order</v>
      </c>
      <c r="Z241" t="str">
        <f>TEXT(Table1[[#This Row],[Order Date]],"dddd")</f>
        <v>Thursday</v>
      </c>
    </row>
    <row r="242" spans="1:26" ht="14.4" x14ac:dyDescent="0.3">
      <c r="A242" t="s">
        <v>739</v>
      </c>
      <c r="B242" t="s">
        <v>740</v>
      </c>
      <c r="C242" s="2">
        <v>46149</v>
      </c>
      <c r="D242" t="s">
        <v>28</v>
      </c>
      <c r="E242" t="s">
        <v>55</v>
      </c>
      <c r="F242" t="s">
        <v>741</v>
      </c>
      <c r="G242" t="s">
        <v>108</v>
      </c>
      <c r="H242" t="s">
        <v>32</v>
      </c>
      <c r="I242" t="s">
        <v>33</v>
      </c>
      <c r="J242" t="s">
        <v>59</v>
      </c>
      <c r="K242" t="s">
        <v>95</v>
      </c>
      <c r="L242" t="s">
        <v>36</v>
      </c>
      <c r="M242">
        <v>1</v>
      </c>
      <c r="N242">
        <v>15628</v>
      </c>
      <c r="O242" s="2">
        <v>5</v>
      </c>
      <c r="P242" s="2">
        <v>14846.6</v>
      </c>
      <c r="Q242" s="2">
        <v>11778.56</v>
      </c>
      <c r="R242" s="2">
        <v>3068.04</v>
      </c>
      <c r="S242" t="s">
        <v>50</v>
      </c>
      <c r="T242">
        <v>4</v>
      </c>
      <c r="U242" t="s">
        <v>51</v>
      </c>
      <c r="V242" t="s">
        <v>52</v>
      </c>
      <c r="W242" s="3">
        <f>Table1[[#This Row],[Profit]]/Table1[[#This Row],[Sales]]</f>
        <v>0.20664933385421577</v>
      </c>
      <c r="X242" t="str">
        <f>IF(Table1[[#This Row],[Sales]]&gt;=30000,"High Value",IF(Table1[[#This Row],[Sales]]&gt;=15000,"Medium Value","Low Value"))</f>
        <v>Low Value</v>
      </c>
      <c r="Y242" t="str">
        <f>IF(Table1[[#This Row],[Quantity]]&gt;=3,"Bulk Order","Regular Order")</f>
        <v>Regular Order</v>
      </c>
      <c r="Z242" t="str">
        <f>TEXT(Table1[[#This Row],[Order Date]],"dddd")</f>
        <v>Thursday</v>
      </c>
    </row>
    <row r="243" spans="1:26" ht="14.4" x14ac:dyDescent="0.3">
      <c r="A243" t="s">
        <v>742</v>
      </c>
      <c r="B243" t="s">
        <v>743</v>
      </c>
      <c r="C243" s="2">
        <v>46148</v>
      </c>
      <c r="D243" t="s">
        <v>28</v>
      </c>
      <c r="E243" t="s">
        <v>29</v>
      </c>
      <c r="F243" t="s">
        <v>282</v>
      </c>
      <c r="G243" t="s">
        <v>182</v>
      </c>
      <c r="H243" t="s">
        <v>46</v>
      </c>
      <c r="I243" t="s">
        <v>33</v>
      </c>
      <c r="J243" t="s">
        <v>59</v>
      </c>
      <c r="K243" t="s">
        <v>95</v>
      </c>
      <c r="L243" t="s">
        <v>36</v>
      </c>
      <c r="M243">
        <v>2</v>
      </c>
      <c r="N243">
        <v>15528</v>
      </c>
      <c r="O243" s="2">
        <v>10</v>
      </c>
      <c r="P243" s="2">
        <v>27950.400000000001</v>
      </c>
      <c r="Q243" s="2">
        <v>22104.41</v>
      </c>
      <c r="R243" s="2">
        <v>5845.99</v>
      </c>
      <c r="S243" t="s">
        <v>62</v>
      </c>
      <c r="T243">
        <v>5</v>
      </c>
      <c r="U243" t="s">
        <v>38</v>
      </c>
      <c r="V243" t="s">
        <v>116</v>
      </c>
      <c r="W243" s="3">
        <f>Table1[[#This Row],[Profit]]/Table1[[#This Row],[Sales]]</f>
        <v>0.20915586181235329</v>
      </c>
      <c r="X243" t="str">
        <f>IF(Table1[[#This Row],[Sales]]&gt;=30000,"High Value",IF(Table1[[#This Row],[Sales]]&gt;=15000,"Medium Value","Low Value"))</f>
        <v>Medium Value</v>
      </c>
      <c r="Y243" t="str">
        <f>IF(Table1[[#This Row],[Quantity]]&gt;=3,"Bulk Order","Regular Order")</f>
        <v>Regular Order</v>
      </c>
      <c r="Z243" t="str">
        <f>TEXT(Table1[[#This Row],[Order Date]],"dddd")</f>
        <v>Wednesday</v>
      </c>
    </row>
    <row r="244" spans="1:26" ht="14.4" x14ac:dyDescent="0.3">
      <c r="A244" t="s">
        <v>744</v>
      </c>
      <c r="B244" t="s">
        <v>745</v>
      </c>
      <c r="C244" s="2">
        <v>46201</v>
      </c>
      <c r="D244" t="s">
        <v>42</v>
      </c>
      <c r="E244" t="s">
        <v>43</v>
      </c>
      <c r="F244" t="s">
        <v>493</v>
      </c>
      <c r="G244" t="s">
        <v>138</v>
      </c>
      <c r="H244" t="s">
        <v>32</v>
      </c>
      <c r="I244" t="s">
        <v>33</v>
      </c>
      <c r="J244" t="s">
        <v>34</v>
      </c>
      <c r="K244" t="s">
        <v>35</v>
      </c>
      <c r="L244" t="s">
        <v>36</v>
      </c>
      <c r="M244">
        <v>1</v>
      </c>
      <c r="N244">
        <v>10734</v>
      </c>
      <c r="O244" s="2">
        <v>5</v>
      </c>
      <c r="P244" s="2">
        <v>10197.299999999999</v>
      </c>
      <c r="Q244" s="2">
        <v>8091.43</v>
      </c>
      <c r="R244" s="2">
        <v>2105.87</v>
      </c>
      <c r="S244" t="s">
        <v>37</v>
      </c>
      <c r="T244">
        <v>5</v>
      </c>
      <c r="U244" t="s">
        <v>51</v>
      </c>
      <c r="V244" t="s">
        <v>52</v>
      </c>
      <c r="W244" s="3">
        <f>Table1[[#This Row],[Profit]]/Table1[[#This Row],[Sales]]</f>
        <v>0.20651250821295833</v>
      </c>
      <c r="X244" t="str">
        <f>IF(Table1[[#This Row],[Sales]]&gt;=30000,"High Value",IF(Table1[[#This Row],[Sales]]&gt;=15000,"Medium Value","Low Value"))</f>
        <v>Low Value</v>
      </c>
      <c r="Y244" t="str">
        <f>IF(Table1[[#This Row],[Quantity]]&gt;=3,"Bulk Order","Regular Order")</f>
        <v>Regular Order</v>
      </c>
      <c r="Z244" t="str">
        <f>TEXT(Table1[[#This Row],[Order Date]],"dddd")</f>
        <v>Sunday</v>
      </c>
    </row>
    <row r="245" spans="1:26" ht="14.4" x14ac:dyDescent="0.3">
      <c r="A245" t="s">
        <v>746</v>
      </c>
      <c r="B245" t="s">
        <v>747</v>
      </c>
      <c r="C245" s="2">
        <v>46154</v>
      </c>
      <c r="D245" t="s">
        <v>28</v>
      </c>
      <c r="E245" t="s">
        <v>55</v>
      </c>
      <c r="F245" t="s">
        <v>610</v>
      </c>
      <c r="G245" t="s">
        <v>182</v>
      </c>
      <c r="H245" t="s">
        <v>46</v>
      </c>
      <c r="I245" t="s">
        <v>33</v>
      </c>
      <c r="J245" t="s">
        <v>149</v>
      </c>
      <c r="K245" t="s">
        <v>150</v>
      </c>
      <c r="L245" t="s">
        <v>151</v>
      </c>
      <c r="M245">
        <v>2</v>
      </c>
      <c r="N245">
        <v>2522</v>
      </c>
      <c r="O245" s="2">
        <v>5</v>
      </c>
      <c r="P245" s="2">
        <v>4791.8</v>
      </c>
      <c r="Q245" s="2">
        <v>3598.77</v>
      </c>
      <c r="R245" s="2">
        <v>1193.03</v>
      </c>
      <c r="S245" t="s">
        <v>37</v>
      </c>
      <c r="T245">
        <v>4</v>
      </c>
      <c r="U245" t="s">
        <v>51</v>
      </c>
      <c r="V245" t="s">
        <v>39</v>
      </c>
      <c r="W245" s="3">
        <f>Table1[[#This Row],[Profit]]/Table1[[#This Row],[Sales]]</f>
        <v>0.24897324596185147</v>
      </c>
      <c r="X245" t="str">
        <f>IF(Table1[[#This Row],[Sales]]&gt;=30000,"High Value",IF(Table1[[#This Row],[Sales]]&gt;=15000,"Medium Value","Low Value"))</f>
        <v>Low Value</v>
      </c>
      <c r="Y245" t="str">
        <f>IF(Table1[[#This Row],[Quantity]]&gt;=3,"Bulk Order","Regular Order")</f>
        <v>Regular Order</v>
      </c>
      <c r="Z245" t="str">
        <f>TEXT(Table1[[#This Row],[Order Date]],"dddd")</f>
        <v>Tuesday</v>
      </c>
    </row>
    <row r="246" spans="1:26" ht="14.4" x14ac:dyDescent="0.3">
      <c r="A246" t="s">
        <v>748</v>
      </c>
      <c r="B246" t="s">
        <v>749</v>
      </c>
      <c r="C246" s="2">
        <v>46145</v>
      </c>
      <c r="D246" t="s">
        <v>28</v>
      </c>
      <c r="E246" t="s">
        <v>55</v>
      </c>
      <c r="F246" t="s">
        <v>584</v>
      </c>
      <c r="G246" t="s">
        <v>249</v>
      </c>
      <c r="H246" t="s">
        <v>32</v>
      </c>
      <c r="I246" t="s">
        <v>33</v>
      </c>
      <c r="J246" t="s">
        <v>169</v>
      </c>
      <c r="K246" t="s">
        <v>170</v>
      </c>
      <c r="L246" t="s">
        <v>171</v>
      </c>
      <c r="M246">
        <v>2</v>
      </c>
      <c r="N246">
        <v>10740</v>
      </c>
      <c r="O246" s="2">
        <v>0</v>
      </c>
      <c r="P246" s="2">
        <v>21480</v>
      </c>
      <c r="Q246" s="2">
        <v>17480.59</v>
      </c>
      <c r="R246" s="2">
        <v>3999.41</v>
      </c>
      <c r="S246" t="s">
        <v>37</v>
      </c>
      <c r="T246">
        <v>5</v>
      </c>
      <c r="U246" t="s">
        <v>51</v>
      </c>
      <c r="V246" t="s">
        <v>52</v>
      </c>
      <c r="W246" s="3">
        <f>Table1[[#This Row],[Profit]]/Table1[[#This Row],[Sales]]</f>
        <v>0.18619227188081935</v>
      </c>
      <c r="X246" t="str">
        <f>IF(Table1[[#This Row],[Sales]]&gt;=30000,"High Value",IF(Table1[[#This Row],[Sales]]&gt;=15000,"Medium Value","Low Value"))</f>
        <v>Medium Value</v>
      </c>
      <c r="Y246" t="str">
        <f>IF(Table1[[#This Row],[Quantity]]&gt;=3,"Bulk Order","Regular Order")</f>
        <v>Regular Order</v>
      </c>
      <c r="Z246" t="str">
        <f>TEXT(Table1[[#This Row],[Order Date]],"dddd")</f>
        <v>Sunday</v>
      </c>
    </row>
    <row r="247" spans="1:26" ht="14.4" x14ac:dyDescent="0.3">
      <c r="A247" t="s">
        <v>750</v>
      </c>
      <c r="B247" t="s">
        <v>751</v>
      </c>
      <c r="C247" s="2">
        <v>46182</v>
      </c>
      <c r="D247" t="s">
        <v>42</v>
      </c>
      <c r="E247" t="s">
        <v>196</v>
      </c>
      <c r="F247" t="s">
        <v>127</v>
      </c>
      <c r="G247" t="s">
        <v>186</v>
      </c>
      <c r="H247" t="s">
        <v>32</v>
      </c>
      <c r="I247" t="s">
        <v>33</v>
      </c>
      <c r="J247" t="s">
        <v>59</v>
      </c>
      <c r="K247" t="s">
        <v>60</v>
      </c>
      <c r="L247" t="s">
        <v>61</v>
      </c>
      <c r="M247">
        <v>1</v>
      </c>
      <c r="N247">
        <v>16436</v>
      </c>
      <c r="O247" s="2">
        <v>5</v>
      </c>
      <c r="P247" s="2">
        <v>15614.2</v>
      </c>
      <c r="Q247" s="2">
        <v>12493.81</v>
      </c>
      <c r="R247" s="2">
        <v>3120.39</v>
      </c>
      <c r="S247" t="s">
        <v>37</v>
      </c>
      <c r="T247">
        <v>5</v>
      </c>
      <c r="U247" t="s">
        <v>51</v>
      </c>
      <c r="V247" t="s">
        <v>86</v>
      </c>
      <c r="W247" s="3">
        <f>Table1[[#This Row],[Profit]]/Table1[[#This Row],[Sales]]</f>
        <v>0.19984309154487581</v>
      </c>
      <c r="X247" t="str">
        <f>IF(Table1[[#This Row],[Sales]]&gt;=30000,"High Value",IF(Table1[[#This Row],[Sales]]&gt;=15000,"Medium Value","Low Value"))</f>
        <v>Medium Value</v>
      </c>
      <c r="Y247" t="str">
        <f>IF(Table1[[#This Row],[Quantity]]&gt;=3,"Bulk Order","Regular Order")</f>
        <v>Regular Order</v>
      </c>
      <c r="Z247" t="str">
        <f>TEXT(Table1[[#This Row],[Order Date]],"dddd")</f>
        <v>Tuesday</v>
      </c>
    </row>
    <row r="248" spans="1:26" ht="14.4" x14ac:dyDescent="0.3">
      <c r="A248" t="s">
        <v>752</v>
      </c>
      <c r="B248" t="s">
        <v>753</v>
      </c>
      <c r="C248" s="2">
        <v>46199</v>
      </c>
      <c r="D248" t="s">
        <v>42</v>
      </c>
      <c r="E248" t="s">
        <v>78</v>
      </c>
      <c r="F248" t="s">
        <v>754</v>
      </c>
      <c r="G248" t="s">
        <v>211</v>
      </c>
      <c r="H248" t="s">
        <v>32</v>
      </c>
      <c r="I248" t="s">
        <v>58</v>
      </c>
      <c r="J248" t="s">
        <v>47</v>
      </c>
      <c r="K248" t="s">
        <v>69</v>
      </c>
      <c r="L248" t="s">
        <v>70</v>
      </c>
      <c r="M248">
        <v>4</v>
      </c>
      <c r="N248">
        <v>7509</v>
      </c>
      <c r="O248" s="2">
        <v>10</v>
      </c>
      <c r="P248" s="2">
        <v>27032.400000000001</v>
      </c>
      <c r="Q248" s="2">
        <v>22015.17</v>
      </c>
      <c r="R248" s="2">
        <v>5017.2299999999996</v>
      </c>
      <c r="S248" t="s">
        <v>50</v>
      </c>
      <c r="T248">
        <v>4</v>
      </c>
      <c r="U248" t="s">
        <v>51</v>
      </c>
      <c r="V248" t="s">
        <v>116</v>
      </c>
      <c r="W248" s="3">
        <f>Table1[[#This Row],[Profit]]/Table1[[#This Row],[Sales]]</f>
        <v>0.18560061259821545</v>
      </c>
      <c r="X248" t="str">
        <f>IF(Table1[[#This Row],[Sales]]&gt;=30000,"High Value",IF(Table1[[#This Row],[Sales]]&gt;=15000,"Medium Value","Low Value"))</f>
        <v>Medium Value</v>
      </c>
      <c r="Y248" t="str">
        <f>IF(Table1[[#This Row],[Quantity]]&gt;=3,"Bulk Order","Regular Order")</f>
        <v>Bulk Order</v>
      </c>
      <c r="Z248" t="str">
        <f>TEXT(Table1[[#This Row],[Order Date]],"dddd")</f>
        <v>Friday</v>
      </c>
    </row>
    <row r="249" spans="1:26" ht="14.4" x14ac:dyDescent="0.3">
      <c r="A249" t="s">
        <v>755</v>
      </c>
      <c r="B249" t="s">
        <v>756</v>
      </c>
      <c r="C249" s="2">
        <v>46143</v>
      </c>
      <c r="D249" t="s">
        <v>28</v>
      </c>
      <c r="E249" t="s">
        <v>29</v>
      </c>
      <c r="F249" t="s">
        <v>757</v>
      </c>
      <c r="G249" t="s">
        <v>322</v>
      </c>
      <c r="H249" t="s">
        <v>32</v>
      </c>
      <c r="I249" t="s">
        <v>58</v>
      </c>
      <c r="J249" t="s">
        <v>149</v>
      </c>
      <c r="K249" t="s">
        <v>150</v>
      </c>
      <c r="L249" t="s">
        <v>151</v>
      </c>
      <c r="M249">
        <v>5</v>
      </c>
      <c r="N249">
        <v>3062</v>
      </c>
      <c r="O249" s="2">
        <v>5</v>
      </c>
      <c r="P249" s="2">
        <v>14544.5</v>
      </c>
      <c r="Q249" s="2">
        <v>10485.030000000001</v>
      </c>
      <c r="R249" s="2">
        <v>4059.47</v>
      </c>
      <c r="S249" t="s">
        <v>37</v>
      </c>
      <c r="T249">
        <v>5</v>
      </c>
      <c r="U249" t="s">
        <v>51</v>
      </c>
      <c r="V249" t="s">
        <v>116</v>
      </c>
      <c r="W249" s="3">
        <f>Table1[[#This Row],[Profit]]/Table1[[#This Row],[Sales]]</f>
        <v>0.27910687888892705</v>
      </c>
      <c r="X249" t="str">
        <f>IF(Table1[[#This Row],[Sales]]&gt;=30000,"High Value",IF(Table1[[#This Row],[Sales]]&gt;=15000,"Medium Value","Low Value"))</f>
        <v>Low Value</v>
      </c>
      <c r="Y249" t="str">
        <f>IF(Table1[[#This Row],[Quantity]]&gt;=3,"Bulk Order","Regular Order")</f>
        <v>Bulk Order</v>
      </c>
      <c r="Z249" t="str">
        <f>TEXT(Table1[[#This Row],[Order Date]],"dddd")</f>
        <v>Friday</v>
      </c>
    </row>
    <row r="250" spans="1:26" ht="14.4" x14ac:dyDescent="0.3">
      <c r="A250" t="s">
        <v>758</v>
      </c>
      <c r="B250" t="s">
        <v>759</v>
      </c>
      <c r="C250" s="2">
        <v>46161</v>
      </c>
      <c r="D250" t="s">
        <v>28</v>
      </c>
      <c r="E250" t="s">
        <v>78</v>
      </c>
      <c r="F250" t="s">
        <v>423</v>
      </c>
      <c r="G250" t="s">
        <v>186</v>
      </c>
      <c r="H250" t="s">
        <v>32</v>
      </c>
      <c r="I250" t="s">
        <v>33</v>
      </c>
      <c r="J250" t="s">
        <v>34</v>
      </c>
      <c r="K250" t="s">
        <v>35</v>
      </c>
      <c r="L250" t="s">
        <v>36</v>
      </c>
      <c r="M250">
        <v>1</v>
      </c>
      <c r="N250">
        <v>11785</v>
      </c>
      <c r="O250" s="2">
        <v>0</v>
      </c>
      <c r="P250" s="2">
        <v>11785</v>
      </c>
      <c r="Q250" s="2">
        <v>9491</v>
      </c>
      <c r="R250" s="2">
        <v>2294</v>
      </c>
      <c r="S250" t="s">
        <v>37</v>
      </c>
      <c r="T250">
        <v>4</v>
      </c>
      <c r="U250" t="s">
        <v>51</v>
      </c>
      <c r="V250" t="s">
        <v>116</v>
      </c>
      <c r="W250" s="3">
        <f>Table1[[#This Row],[Profit]]/Table1[[#This Row],[Sales]]</f>
        <v>0.19465422146796776</v>
      </c>
      <c r="X250" t="str">
        <f>IF(Table1[[#This Row],[Sales]]&gt;=30000,"High Value",IF(Table1[[#This Row],[Sales]]&gt;=15000,"Medium Value","Low Value"))</f>
        <v>Low Value</v>
      </c>
      <c r="Y250" t="str">
        <f>IF(Table1[[#This Row],[Quantity]]&gt;=3,"Bulk Order","Regular Order")</f>
        <v>Regular Order</v>
      </c>
      <c r="Z250" t="str">
        <f>TEXT(Table1[[#This Row],[Order Date]],"dddd")</f>
        <v>Tuesday</v>
      </c>
    </row>
    <row r="251" spans="1:26" ht="14.4" x14ac:dyDescent="0.3">
      <c r="A251" t="s">
        <v>760</v>
      </c>
      <c r="B251" t="s">
        <v>761</v>
      </c>
      <c r="C251" s="2">
        <v>46152</v>
      </c>
      <c r="D251" t="s">
        <v>28</v>
      </c>
      <c r="E251" t="s">
        <v>43</v>
      </c>
      <c r="F251" t="s">
        <v>762</v>
      </c>
      <c r="G251" t="s">
        <v>389</v>
      </c>
      <c r="H251" t="s">
        <v>46</v>
      </c>
      <c r="I251" t="s">
        <v>33</v>
      </c>
      <c r="J251" t="s">
        <v>59</v>
      </c>
      <c r="K251" t="s">
        <v>95</v>
      </c>
      <c r="L251" t="s">
        <v>36</v>
      </c>
      <c r="M251">
        <v>2</v>
      </c>
      <c r="N251">
        <v>15974</v>
      </c>
      <c r="O251" s="2">
        <v>5</v>
      </c>
      <c r="P251" s="2">
        <v>30350.6</v>
      </c>
      <c r="Q251" s="2">
        <v>24264.42</v>
      </c>
      <c r="R251" s="2">
        <v>6086.18</v>
      </c>
      <c r="S251" t="s">
        <v>50</v>
      </c>
      <c r="T251">
        <v>3</v>
      </c>
      <c r="U251" t="s">
        <v>51</v>
      </c>
      <c r="V251" t="s">
        <v>63</v>
      </c>
      <c r="W251" s="3">
        <f>Table1[[#This Row],[Profit]]/Table1[[#This Row],[Sales]]</f>
        <v>0.20052914934136395</v>
      </c>
      <c r="X251" t="str">
        <f>IF(Table1[[#This Row],[Sales]]&gt;=30000,"High Value",IF(Table1[[#This Row],[Sales]]&gt;=15000,"Medium Value","Low Value"))</f>
        <v>High Value</v>
      </c>
      <c r="Y251" t="str">
        <f>IF(Table1[[#This Row],[Quantity]]&gt;=3,"Bulk Order","Regular Order")</f>
        <v>Regular Order</v>
      </c>
      <c r="Z251" t="str">
        <f>TEXT(Table1[[#This Row],[Order Date]],"dddd")</f>
        <v>Sunday</v>
      </c>
    </row>
    <row r="252" spans="1:26" ht="14.4" x14ac:dyDescent="0.3">
      <c r="A252" t="s">
        <v>763</v>
      </c>
      <c r="B252" t="s">
        <v>764</v>
      </c>
      <c r="C252" s="2">
        <v>46191</v>
      </c>
      <c r="D252" t="s">
        <v>42</v>
      </c>
      <c r="E252" t="s">
        <v>133</v>
      </c>
      <c r="F252" t="s">
        <v>325</v>
      </c>
      <c r="G252" t="s">
        <v>283</v>
      </c>
      <c r="H252" t="s">
        <v>32</v>
      </c>
      <c r="I252" t="s">
        <v>58</v>
      </c>
      <c r="J252" t="s">
        <v>59</v>
      </c>
      <c r="K252" t="s">
        <v>60</v>
      </c>
      <c r="L252" t="s">
        <v>61</v>
      </c>
      <c r="M252">
        <v>3</v>
      </c>
      <c r="N252">
        <v>16512</v>
      </c>
      <c r="O252" s="2">
        <v>10</v>
      </c>
      <c r="P252" s="2">
        <v>44582.400000000001</v>
      </c>
      <c r="Q252" s="2">
        <v>35430.839999999997</v>
      </c>
      <c r="R252" s="2">
        <v>9151.56</v>
      </c>
      <c r="S252" t="s">
        <v>81</v>
      </c>
      <c r="T252">
        <v>5</v>
      </c>
      <c r="U252" t="s">
        <v>51</v>
      </c>
      <c r="V252" t="s">
        <v>116</v>
      </c>
      <c r="W252" s="3">
        <f>Table1[[#This Row],[Profit]]/Table1[[#This Row],[Sales]]</f>
        <v>0.20527293281653744</v>
      </c>
      <c r="X252" t="str">
        <f>IF(Table1[[#This Row],[Sales]]&gt;=30000,"High Value",IF(Table1[[#This Row],[Sales]]&gt;=15000,"Medium Value","Low Value"))</f>
        <v>High Value</v>
      </c>
      <c r="Y252" t="str">
        <f>IF(Table1[[#This Row],[Quantity]]&gt;=3,"Bulk Order","Regular Order")</f>
        <v>Bulk Order</v>
      </c>
      <c r="Z252" t="str">
        <f>TEXT(Table1[[#This Row],[Order Date]],"dddd")</f>
        <v>Thursday</v>
      </c>
    </row>
    <row r="253" spans="1:26" ht="14.4" x14ac:dyDescent="0.3">
      <c r="A253" t="s">
        <v>765</v>
      </c>
      <c r="B253" t="s">
        <v>766</v>
      </c>
      <c r="C253" s="2">
        <v>46188</v>
      </c>
      <c r="D253" t="s">
        <v>42</v>
      </c>
      <c r="E253" t="s">
        <v>66</v>
      </c>
      <c r="F253" t="s">
        <v>119</v>
      </c>
      <c r="G253" t="s">
        <v>218</v>
      </c>
      <c r="H253" t="s">
        <v>46</v>
      </c>
      <c r="I253" t="s">
        <v>33</v>
      </c>
      <c r="J253" t="s">
        <v>47</v>
      </c>
      <c r="K253" t="s">
        <v>69</v>
      </c>
      <c r="L253" t="s">
        <v>70</v>
      </c>
      <c r="M253">
        <v>2</v>
      </c>
      <c r="N253">
        <v>8608</v>
      </c>
      <c r="O253" s="2">
        <v>0</v>
      </c>
      <c r="P253" s="2">
        <v>17216</v>
      </c>
      <c r="Q253" s="2">
        <v>13719.31</v>
      </c>
      <c r="R253" s="2">
        <v>3496.69</v>
      </c>
      <c r="S253" t="s">
        <v>37</v>
      </c>
      <c r="T253">
        <v>5</v>
      </c>
      <c r="U253" t="s">
        <v>51</v>
      </c>
      <c r="V253" t="s">
        <v>75</v>
      </c>
      <c r="W253" s="3">
        <f>Table1[[#This Row],[Profit]]/Table1[[#This Row],[Sales]]</f>
        <v>0.20310699349442379</v>
      </c>
      <c r="X253" t="str">
        <f>IF(Table1[[#This Row],[Sales]]&gt;=30000,"High Value",IF(Table1[[#This Row],[Sales]]&gt;=15000,"Medium Value","Low Value"))</f>
        <v>Medium Value</v>
      </c>
      <c r="Y253" t="str">
        <f>IF(Table1[[#This Row],[Quantity]]&gt;=3,"Bulk Order","Regular Order")</f>
        <v>Regular Order</v>
      </c>
      <c r="Z253" t="str">
        <f>TEXT(Table1[[#This Row],[Order Date]],"dddd")</f>
        <v>Monday</v>
      </c>
    </row>
    <row r="254" spans="1:26" ht="14.4" x14ac:dyDescent="0.3">
      <c r="A254" t="s">
        <v>767</v>
      </c>
      <c r="B254" t="s">
        <v>768</v>
      </c>
      <c r="C254" s="2">
        <v>46201</v>
      </c>
      <c r="D254" t="s">
        <v>42</v>
      </c>
      <c r="E254" t="s">
        <v>66</v>
      </c>
      <c r="F254" t="s">
        <v>398</v>
      </c>
      <c r="G254" t="s">
        <v>389</v>
      </c>
      <c r="H254" t="s">
        <v>46</v>
      </c>
      <c r="I254" t="s">
        <v>33</v>
      </c>
      <c r="J254" t="s">
        <v>47</v>
      </c>
      <c r="K254" t="s">
        <v>48</v>
      </c>
      <c r="L254" t="s">
        <v>49</v>
      </c>
      <c r="M254">
        <v>1</v>
      </c>
      <c r="N254">
        <v>8665</v>
      </c>
      <c r="O254" s="2">
        <v>0</v>
      </c>
      <c r="P254" s="2">
        <v>8665</v>
      </c>
      <c r="Q254" s="2">
        <v>6831.51</v>
      </c>
      <c r="R254" s="2">
        <v>1833.49</v>
      </c>
      <c r="S254" t="s">
        <v>81</v>
      </c>
      <c r="T254">
        <v>4</v>
      </c>
      <c r="U254" t="s">
        <v>51</v>
      </c>
      <c r="V254" t="s">
        <v>39</v>
      </c>
      <c r="W254" s="3">
        <f>Table1[[#This Row],[Profit]]/Table1[[#This Row],[Sales]]</f>
        <v>0.21159723023658397</v>
      </c>
      <c r="X254" t="str">
        <f>IF(Table1[[#This Row],[Sales]]&gt;=30000,"High Value",IF(Table1[[#This Row],[Sales]]&gt;=15000,"Medium Value","Low Value"))</f>
        <v>Low Value</v>
      </c>
      <c r="Y254" t="str">
        <f>IF(Table1[[#This Row],[Quantity]]&gt;=3,"Bulk Order","Regular Order")</f>
        <v>Regular Order</v>
      </c>
      <c r="Z254" t="str">
        <f>TEXT(Table1[[#This Row],[Order Date]],"dddd")</f>
        <v>Sunday</v>
      </c>
    </row>
    <row r="255" spans="1:26" ht="14.4" x14ac:dyDescent="0.3">
      <c r="A255" t="s">
        <v>769</v>
      </c>
      <c r="B255" t="s">
        <v>770</v>
      </c>
      <c r="C255" s="2">
        <v>46154</v>
      </c>
      <c r="D255" t="s">
        <v>28</v>
      </c>
      <c r="E255" t="s">
        <v>55</v>
      </c>
      <c r="F255" t="s">
        <v>635</v>
      </c>
      <c r="G255" t="s">
        <v>198</v>
      </c>
      <c r="H255" t="s">
        <v>32</v>
      </c>
      <c r="I255" t="s">
        <v>58</v>
      </c>
      <c r="J255" t="s">
        <v>59</v>
      </c>
      <c r="K255" t="s">
        <v>95</v>
      </c>
      <c r="L255" t="s">
        <v>36</v>
      </c>
      <c r="M255">
        <v>5</v>
      </c>
      <c r="N255">
        <v>15855</v>
      </c>
      <c r="O255" s="2">
        <v>5</v>
      </c>
      <c r="P255" s="2">
        <v>75311.25</v>
      </c>
      <c r="Q255" s="2">
        <v>61085.5</v>
      </c>
      <c r="R255" s="2">
        <v>14225.75</v>
      </c>
      <c r="S255" t="s">
        <v>50</v>
      </c>
      <c r="T255">
        <v>4</v>
      </c>
      <c r="U255" t="s">
        <v>51</v>
      </c>
      <c r="V255" t="s">
        <v>116</v>
      </c>
      <c r="W255" s="3">
        <f>Table1[[#This Row],[Profit]]/Table1[[#This Row],[Sales]]</f>
        <v>0.18889276170558847</v>
      </c>
      <c r="X255" t="str">
        <f>IF(Table1[[#This Row],[Sales]]&gt;=30000,"High Value",IF(Table1[[#This Row],[Sales]]&gt;=15000,"Medium Value","Low Value"))</f>
        <v>High Value</v>
      </c>
      <c r="Y255" t="str">
        <f>IF(Table1[[#This Row],[Quantity]]&gt;=3,"Bulk Order","Regular Order")</f>
        <v>Bulk Order</v>
      </c>
      <c r="Z255" t="str">
        <f>TEXT(Table1[[#This Row],[Order Date]],"dddd")</f>
        <v>Tuesday</v>
      </c>
    </row>
    <row r="256" spans="1:26" ht="14.4" x14ac:dyDescent="0.3">
      <c r="A256" t="s">
        <v>771</v>
      </c>
      <c r="B256" t="s">
        <v>772</v>
      </c>
      <c r="C256" s="2">
        <v>46156</v>
      </c>
      <c r="D256" t="s">
        <v>28</v>
      </c>
      <c r="E256" t="s">
        <v>133</v>
      </c>
      <c r="F256" t="s">
        <v>330</v>
      </c>
      <c r="G256" t="s">
        <v>454</v>
      </c>
      <c r="H256" t="s">
        <v>32</v>
      </c>
      <c r="I256" t="s">
        <v>33</v>
      </c>
      <c r="J256" t="s">
        <v>59</v>
      </c>
      <c r="K256" t="s">
        <v>60</v>
      </c>
      <c r="L256" t="s">
        <v>61</v>
      </c>
      <c r="M256">
        <v>1</v>
      </c>
      <c r="N256">
        <v>17744</v>
      </c>
      <c r="O256" s="2">
        <v>15</v>
      </c>
      <c r="P256" s="2">
        <v>15082.4</v>
      </c>
      <c r="Q256" s="2">
        <v>12236.02</v>
      </c>
      <c r="R256" s="2">
        <v>2846.38</v>
      </c>
      <c r="S256" t="s">
        <v>37</v>
      </c>
      <c r="T256">
        <v>5</v>
      </c>
      <c r="U256" t="s">
        <v>51</v>
      </c>
      <c r="V256" t="s">
        <v>116</v>
      </c>
      <c r="W256" s="3">
        <f>Table1[[#This Row],[Profit]]/Table1[[#This Row],[Sales]]</f>
        <v>0.18872195406566594</v>
      </c>
      <c r="X256" t="str">
        <f>IF(Table1[[#This Row],[Sales]]&gt;=30000,"High Value",IF(Table1[[#This Row],[Sales]]&gt;=15000,"Medium Value","Low Value"))</f>
        <v>Medium Value</v>
      </c>
      <c r="Y256" t="str">
        <f>IF(Table1[[#This Row],[Quantity]]&gt;=3,"Bulk Order","Regular Order")</f>
        <v>Regular Order</v>
      </c>
      <c r="Z256" t="str">
        <f>TEXT(Table1[[#This Row],[Order Date]],"dddd")</f>
        <v>Thursday</v>
      </c>
    </row>
    <row r="257" spans="1:26" ht="14.4" x14ac:dyDescent="0.3">
      <c r="A257" t="s">
        <v>773</v>
      </c>
      <c r="B257" t="s">
        <v>774</v>
      </c>
      <c r="C257" s="2">
        <v>46184</v>
      </c>
      <c r="D257" t="s">
        <v>42</v>
      </c>
      <c r="E257" t="s">
        <v>29</v>
      </c>
      <c r="F257" t="s">
        <v>581</v>
      </c>
      <c r="G257" t="s">
        <v>408</v>
      </c>
      <c r="H257" t="s">
        <v>46</v>
      </c>
      <c r="I257" t="s">
        <v>58</v>
      </c>
      <c r="J257" t="s">
        <v>169</v>
      </c>
      <c r="K257" t="s">
        <v>170</v>
      </c>
      <c r="L257" t="s">
        <v>171</v>
      </c>
      <c r="M257">
        <v>5</v>
      </c>
      <c r="N257">
        <v>10561</v>
      </c>
      <c r="O257" s="2">
        <v>5</v>
      </c>
      <c r="P257" s="2">
        <v>50164.75</v>
      </c>
      <c r="Q257" s="2">
        <v>40699.160000000003</v>
      </c>
      <c r="R257" s="2">
        <v>9465.59</v>
      </c>
      <c r="S257" t="s">
        <v>50</v>
      </c>
      <c r="T257">
        <v>5</v>
      </c>
      <c r="U257" t="s">
        <v>51</v>
      </c>
      <c r="V257" t="s">
        <v>75</v>
      </c>
      <c r="W257" s="3">
        <f>Table1[[#This Row],[Profit]]/Table1[[#This Row],[Sales]]</f>
        <v>0.18869006623176635</v>
      </c>
      <c r="X257" t="str">
        <f>IF(Table1[[#This Row],[Sales]]&gt;=30000,"High Value",IF(Table1[[#This Row],[Sales]]&gt;=15000,"Medium Value","Low Value"))</f>
        <v>High Value</v>
      </c>
      <c r="Y257" t="str">
        <f>IF(Table1[[#This Row],[Quantity]]&gt;=3,"Bulk Order","Regular Order")</f>
        <v>Bulk Order</v>
      </c>
      <c r="Z257" t="str">
        <f>TEXT(Table1[[#This Row],[Order Date]],"dddd")</f>
        <v>Thursday</v>
      </c>
    </row>
    <row r="258" spans="1:26" ht="14.4" x14ac:dyDescent="0.3">
      <c r="A258" t="s">
        <v>775</v>
      </c>
      <c r="B258" t="s">
        <v>776</v>
      </c>
      <c r="C258" s="2">
        <v>46187</v>
      </c>
      <c r="D258" t="s">
        <v>42</v>
      </c>
      <c r="E258" t="s">
        <v>133</v>
      </c>
      <c r="F258" t="s">
        <v>84</v>
      </c>
      <c r="G258" t="s">
        <v>322</v>
      </c>
      <c r="H258" t="s">
        <v>32</v>
      </c>
      <c r="I258" t="s">
        <v>33</v>
      </c>
      <c r="J258" t="s">
        <v>59</v>
      </c>
      <c r="K258" t="s">
        <v>60</v>
      </c>
      <c r="L258" t="s">
        <v>61</v>
      </c>
      <c r="M258">
        <v>1</v>
      </c>
      <c r="N258">
        <v>17596</v>
      </c>
      <c r="O258" s="2">
        <v>0</v>
      </c>
      <c r="P258" s="2">
        <v>17596</v>
      </c>
      <c r="Q258" s="2">
        <v>14297.53</v>
      </c>
      <c r="R258" s="2">
        <v>3298.47</v>
      </c>
      <c r="S258" t="s">
        <v>50</v>
      </c>
      <c r="T258">
        <v>5</v>
      </c>
      <c r="U258" t="s">
        <v>51</v>
      </c>
      <c r="V258" t="s">
        <v>75</v>
      </c>
      <c r="W258" s="3">
        <f>Table1[[#This Row],[Profit]]/Table1[[#This Row],[Sales]]</f>
        <v>0.18745567174357808</v>
      </c>
      <c r="X258" t="str">
        <f>IF(Table1[[#This Row],[Sales]]&gt;=30000,"High Value",IF(Table1[[#This Row],[Sales]]&gt;=15000,"Medium Value","Low Value"))</f>
        <v>Medium Value</v>
      </c>
      <c r="Y258" t="str">
        <f>IF(Table1[[#This Row],[Quantity]]&gt;=3,"Bulk Order","Regular Order")</f>
        <v>Regular Order</v>
      </c>
      <c r="Z258" t="str">
        <f>TEXT(Table1[[#This Row],[Order Date]],"dddd")</f>
        <v>Sunday</v>
      </c>
    </row>
    <row r="259" spans="1:26" ht="14.4" x14ac:dyDescent="0.3">
      <c r="A259" t="s">
        <v>777</v>
      </c>
      <c r="B259" t="s">
        <v>778</v>
      </c>
      <c r="C259" s="2">
        <v>46152</v>
      </c>
      <c r="D259" t="s">
        <v>28</v>
      </c>
      <c r="E259" t="s">
        <v>55</v>
      </c>
      <c r="F259" t="s">
        <v>98</v>
      </c>
      <c r="G259" t="s">
        <v>225</v>
      </c>
      <c r="H259" t="s">
        <v>32</v>
      </c>
      <c r="I259" t="s">
        <v>33</v>
      </c>
      <c r="J259" t="s">
        <v>59</v>
      </c>
      <c r="K259" t="s">
        <v>95</v>
      </c>
      <c r="L259" t="s">
        <v>36</v>
      </c>
      <c r="M259">
        <v>1</v>
      </c>
      <c r="N259">
        <v>16725</v>
      </c>
      <c r="O259" s="2">
        <v>5</v>
      </c>
      <c r="P259" s="2">
        <v>15888.75</v>
      </c>
      <c r="Q259" s="2">
        <v>12929.61</v>
      </c>
      <c r="R259" s="2">
        <v>2959.14</v>
      </c>
      <c r="S259" t="s">
        <v>37</v>
      </c>
      <c r="T259">
        <v>5</v>
      </c>
      <c r="U259" t="s">
        <v>90</v>
      </c>
      <c r="V259" t="s">
        <v>39</v>
      </c>
      <c r="W259" s="3">
        <f>Table1[[#This Row],[Profit]]/Table1[[#This Row],[Sales]]</f>
        <v>0.18624120840217134</v>
      </c>
      <c r="X259" t="str">
        <f>IF(Table1[[#This Row],[Sales]]&gt;=30000,"High Value",IF(Table1[[#This Row],[Sales]]&gt;=15000,"Medium Value","Low Value"))</f>
        <v>Medium Value</v>
      </c>
      <c r="Y259" t="str">
        <f>IF(Table1[[#This Row],[Quantity]]&gt;=3,"Bulk Order","Regular Order")</f>
        <v>Regular Order</v>
      </c>
      <c r="Z259" t="str">
        <f>TEXT(Table1[[#This Row],[Order Date]],"dddd")</f>
        <v>Sunday</v>
      </c>
    </row>
    <row r="260" spans="1:26" ht="14.4" x14ac:dyDescent="0.3">
      <c r="A260" t="s">
        <v>779</v>
      </c>
      <c r="B260" t="s">
        <v>780</v>
      </c>
      <c r="C260" s="2">
        <v>46146</v>
      </c>
      <c r="D260" t="s">
        <v>28</v>
      </c>
      <c r="E260" t="s">
        <v>55</v>
      </c>
      <c r="F260" t="s">
        <v>506</v>
      </c>
      <c r="G260" t="s">
        <v>218</v>
      </c>
      <c r="H260" t="s">
        <v>46</v>
      </c>
      <c r="I260" t="s">
        <v>58</v>
      </c>
      <c r="J260" t="s">
        <v>59</v>
      </c>
      <c r="K260" t="s">
        <v>60</v>
      </c>
      <c r="L260" t="s">
        <v>61</v>
      </c>
      <c r="M260">
        <v>5</v>
      </c>
      <c r="N260">
        <v>17590</v>
      </c>
      <c r="O260" s="2">
        <v>5</v>
      </c>
      <c r="P260" s="2">
        <v>83552.5</v>
      </c>
      <c r="Q260" s="2">
        <v>68431.460000000006</v>
      </c>
      <c r="R260" s="2">
        <v>15121.04</v>
      </c>
      <c r="S260" t="s">
        <v>37</v>
      </c>
      <c r="T260">
        <v>5</v>
      </c>
      <c r="U260" t="s">
        <v>51</v>
      </c>
      <c r="V260" t="s">
        <v>86</v>
      </c>
      <c r="W260" s="3">
        <f>Table1[[#This Row],[Profit]]/Table1[[#This Row],[Sales]]</f>
        <v>0.18097651177403429</v>
      </c>
      <c r="X260" t="str">
        <f>IF(Table1[[#This Row],[Sales]]&gt;=30000,"High Value",IF(Table1[[#This Row],[Sales]]&gt;=15000,"Medium Value","Low Value"))</f>
        <v>High Value</v>
      </c>
      <c r="Y260" t="str">
        <f>IF(Table1[[#This Row],[Quantity]]&gt;=3,"Bulk Order","Regular Order")</f>
        <v>Bulk Order</v>
      </c>
      <c r="Z260" t="str">
        <f>TEXT(Table1[[#This Row],[Order Date]],"dddd")</f>
        <v>Monday</v>
      </c>
    </row>
    <row r="261" spans="1:26" ht="14.4" x14ac:dyDescent="0.3">
      <c r="A261" t="s">
        <v>781</v>
      </c>
      <c r="B261" t="s">
        <v>782</v>
      </c>
      <c r="C261" s="2">
        <v>46193</v>
      </c>
      <c r="D261" t="s">
        <v>42</v>
      </c>
      <c r="E261" t="s">
        <v>102</v>
      </c>
      <c r="F261" t="s">
        <v>429</v>
      </c>
      <c r="G261" t="s">
        <v>168</v>
      </c>
      <c r="H261" t="s">
        <v>32</v>
      </c>
      <c r="I261" t="s">
        <v>33</v>
      </c>
      <c r="J261" t="s">
        <v>59</v>
      </c>
      <c r="K261" t="s">
        <v>95</v>
      </c>
      <c r="L261" t="s">
        <v>36</v>
      </c>
      <c r="M261">
        <v>2</v>
      </c>
      <c r="N261">
        <v>16892</v>
      </c>
      <c r="O261" s="2">
        <v>10</v>
      </c>
      <c r="P261" s="2">
        <v>30405.599999999999</v>
      </c>
      <c r="Q261" s="2">
        <v>23978.28</v>
      </c>
      <c r="R261" s="2">
        <v>6427.32</v>
      </c>
      <c r="S261" t="s">
        <v>37</v>
      </c>
      <c r="T261">
        <v>5</v>
      </c>
      <c r="U261" t="s">
        <v>90</v>
      </c>
      <c r="V261" t="s">
        <v>116</v>
      </c>
      <c r="W261" s="3">
        <f>Table1[[#This Row],[Profit]]/Table1[[#This Row],[Sales]]</f>
        <v>0.21138606046254638</v>
      </c>
      <c r="X261" t="str">
        <f>IF(Table1[[#This Row],[Sales]]&gt;=30000,"High Value",IF(Table1[[#This Row],[Sales]]&gt;=15000,"Medium Value","Low Value"))</f>
        <v>High Value</v>
      </c>
      <c r="Y261" t="str">
        <f>IF(Table1[[#This Row],[Quantity]]&gt;=3,"Bulk Order","Regular Order")</f>
        <v>Regular Order</v>
      </c>
      <c r="Z261" t="str">
        <f>TEXT(Table1[[#This Row],[Order Date]],"dddd")</f>
        <v>Saturday</v>
      </c>
    </row>
    <row r="262" spans="1:26" ht="14.4" x14ac:dyDescent="0.3">
      <c r="A262" t="s">
        <v>783</v>
      </c>
      <c r="B262" t="s">
        <v>784</v>
      </c>
      <c r="C262" s="2">
        <v>46146</v>
      </c>
      <c r="D262" t="s">
        <v>28</v>
      </c>
      <c r="E262" t="s">
        <v>133</v>
      </c>
      <c r="F262" t="s">
        <v>56</v>
      </c>
      <c r="G262" t="s">
        <v>261</v>
      </c>
      <c r="H262" t="s">
        <v>32</v>
      </c>
      <c r="I262" t="s">
        <v>33</v>
      </c>
      <c r="J262" t="s">
        <v>128</v>
      </c>
      <c r="K262" t="s">
        <v>129</v>
      </c>
      <c r="L262" t="s">
        <v>130</v>
      </c>
      <c r="M262">
        <v>1</v>
      </c>
      <c r="N262">
        <v>1408</v>
      </c>
      <c r="O262" s="2">
        <v>5</v>
      </c>
      <c r="P262" s="2">
        <v>1337.6</v>
      </c>
      <c r="Q262" s="2">
        <v>799.29</v>
      </c>
      <c r="R262" s="2">
        <v>538.30999999999995</v>
      </c>
      <c r="S262" t="s">
        <v>37</v>
      </c>
      <c r="T262">
        <v>5</v>
      </c>
      <c r="U262" t="s">
        <v>51</v>
      </c>
      <c r="V262" t="s">
        <v>75</v>
      </c>
      <c r="W262" s="3">
        <f>Table1[[#This Row],[Profit]]/Table1[[#This Row],[Sales]]</f>
        <v>0.40244467703349279</v>
      </c>
      <c r="X262" t="str">
        <f>IF(Table1[[#This Row],[Sales]]&gt;=30000,"High Value",IF(Table1[[#This Row],[Sales]]&gt;=15000,"Medium Value","Low Value"))</f>
        <v>Low Value</v>
      </c>
      <c r="Y262" t="str">
        <f>IF(Table1[[#This Row],[Quantity]]&gt;=3,"Bulk Order","Regular Order")</f>
        <v>Regular Order</v>
      </c>
      <c r="Z262" t="str">
        <f>TEXT(Table1[[#This Row],[Order Date]],"dddd")</f>
        <v>Monday</v>
      </c>
    </row>
    <row r="263" spans="1:26" ht="14.4" x14ac:dyDescent="0.3">
      <c r="A263" t="s">
        <v>785</v>
      </c>
      <c r="B263" t="s">
        <v>786</v>
      </c>
      <c r="C263" s="2">
        <v>46184</v>
      </c>
      <c r="D263" t="s">
        <v>42</v>
      </c>
      <c r="E263" t="s">
        <v>133</v>
      </c>
      <c r="F263" t="s">
        <v>181</v>
      </c>
      <c r="G263" t="s">
        <v>115</v>
      </c>
      <c r="H263" t="s">
        <v>32</v>
      </c>
      <c r="I263" t="s">
        <v>33</v>
      </c>
      <c r="J263" t="s">
        <v>169</v>
      </c>
      <c r="K263" t="s">
        <v>170</v>
      </c>
      <c r="L263" t="s">
        <v>171</v>
      </c>
      <c r="M263">
        <v>2</v>
      </c>
      <c r="N263">
        <v>11170</v>
      </c>
      <c r="O263" s="2">
        <v>5</v>
      </c>
      <c r="P263" s="2">
        <v>21223</v>
      </c>
      <c r="Q263" s="2">
        <v>17251.169999999998</v>
      </c>
      <c r="R263" s="2">
        <v>3971.83</v>
      </c>
      <c r="S263" t="s">
        <v>50</v>
      </c>
      <c r="T263">
        <v>5</v>
      </c>
      <c r="U263" t="s">
        <v>51</v>
      </c>
      <c r="V263" t="s">
        <v>116</v>
      </c>
      <c r="W263" s="3">
        <f>Table1[[#This Row],[Profit]]/Table1[[#This Row],[Sales]]</f>
        <v>0.1871474343872214</v>
      </c>
      <c r="X263" t="str">
        <f>IF(Table1[[#This Row],[Sales]]&gt;=30000,"High Value",IF(Table1[[#This Row],[Sales]]&gt;=15000,"Medium Value","Low Value"))</f>
        <v>Medium Value</v>
      </c>
      <c r="Y263" t="str">
        <f>IF(Table1[[#This Row],[Quantity]]&gt;=3,"Bulk Order","Regular Order")</f>
        <v>Regular Order</v>
      </c>
      <c r="Z263" t="str">
        <f>TEXT(Table1[[#This Row],[Order Date]],"dddd")</f>
        <v>Thursday</v>
      </c>
    </row>
    <row r="264" spans="1:26" ht="14.4" x14ac:dyDescent="0.3">
      <c r="A264" t="s">
        <v>787</v>
      </c>
      <c r="B264" t="s">
        <v>788</v>
      </c>
      <c r="C264" s="2">
        <v>46178</v>
      </c>
      <c r="D264" t="s">
        <v>42</v>
      </c>
      <c r="E264" t="s">
        <v>55</v>
      </c>
      <c r="F264" t="s">
        <v>79</v>
      </c>
      <c r="G264" t="s">
        <v>417</v>
      </c>
      <c r="H264" t="s">
        <v>46</v>
      </c>
      <c r="I264" t="s">
        <v>33</v>
      </c>
      <c r="J264" t="s">
        <v>59</v>
      </c>
      <c r="K264" t="s">
        <v>60</v>
      </c>
      <c r="L264" t="s">
        <v>61</v>
      </c>
      <c r="M264">
        <v>2</v>
      </c>
      <c r="N264">
        <v>17103</v>
      </c>
      <c r="O264" s="2">
        <v>10</v>
      </c>
      <c r="P264" s="2">
        <v>30785.4</v>
      </c>
      <c r="Q264" s="2">
        <v>25121.31</v>
      </c>
      <c r="R264" s="2">
        <v>5664.09</v>
      </c>
      <c r="S264" t="s">
        <v>62</v>
      </c>
      <c r="T264">
        <v>4</v>
      </c>
      <c r="U264" t="s">
        <v>51</v>
      </c>
      <c r="V264" t="s">
        <v>86</v>
      </c>
      <c r="W264" s="3">
        <f>Table1[[#This Row],[Profit]]/Table1[[#This Row],[Sales]]</f>
        <v>0.18398624023075874</v>
      </c>
      <c r="X264" t="str">
        <f>IF(Table1[[#This Row],[Sales]]&gt;=30000,"High Value",IF(Table1[[#This Row],[Sales]]&gt;=15000,"Medium Value","Low Value"))</f>
        <v>High Value</v>
      </c>
      <c r="Y264" t="str">
        <f>IF(Table1[[#This Row],[Quantity]]&gt;=3,"Bulk Order","Regular Order")</f>
        <v>Regular Order</v>
      </c>
      <c r="Z264" t="str">
        <f>TEXT(Table1[[#This Row],[Order Date]],"dddd")</f>
        <v>Friday</v>
      </c>
    </row>
    <row r="265" spans="1:26" ht="14.4" x14ac:dyDescent="0.3">
      <c r="A265" t="s">
        <v>789</v>
      </c>
      <c r="B265" t="s">
        <v>790</v>
      </c>
      <c r="C265" s="2">
        <v>46150</v>
      </c>
      <c r="D265" t="s">
        <v>28</v>
      </c>
      <c r="E265" t="s">
        <v>78</v>
      </c>
      <c r="F265" t="s">
        <v>791</v>
      </c>
      <c r="G265" t="s">
        <v>104</v>
      </c>
      <c r="H265" t="s">
        <v>32</v>
      </c>
      <c r="I265" t="s">
        <v>33</v>
      </c>
      <c r="J265" t="s">
        <v>59</v>
      </c>
      <c r="K265" t="s">
        <v>60</v>
      </c>
      <c r="L265" t="s">
        <v>61</v>
      </c>
      <c r="M265">
        <v>2</v>
      </c>
      <c r="N265">
        <v>17878</v>
      </c>
      <c r="O265" s="2">
        <v>0</v>
      </c>
      <c r="P265" s="2">
        <v>35756</v>
      </c>
      <c r="Q265" s="2">
        <v>29319.72</v>
      </c>
      <c r="R265" s="2">
        <v>6436.28</v>
      </c>
      <c r="S265" t="s">
        <v>50</v>
      </c>
      <c r="T265">
        <v>3</v>
      </c>
      <c r="U265" t="s">
        <v>51</v>
      </c>
      <c r="V265" t="s">
        <v>86</v>
      </c>
      <c r="W265" s="3">
        <f>Table1[[#This Row],[Profit]]/Table1[[#This Row],[Sales]]</f>
        <v>0.18000559346683073</v>
      </c>
      <c r="X265" t="str">
        <f>IF(Table1[[#This Row],[Sales]]&gt;=30000,"High Value",IF(Table1[[#This Row],[Sales]]&gt;=15000,"Medium Value","Low Value"))</f>
        <v>High Value</v>
      </c>
      <c r="Y265" t="str">
        <f>IF(Table1[[#This Row],[Quantity]]&gt;=3,"Bulk Order","Regular Order")</f>
        <v>Regular Order</v>
      </c>
      <c r="Z265" t="str">
        <f>TEXT(Table1[[#This Row],[Order Date]],"dddd")</f>
        <v>Friday</v>
      </c>
    </row>
    <row r="266" spans="1:26" ht="14.4" x14ac:dyDescent="0.3">
      <c r="A266" t="s">
        <v>792</v>
      </c>
      <c r="B266" t="s">
        <v>793</v>
      </c>
      <c r="C266" s="2">
        <v>46184</v>
      </c>
      <c r="D266" t="s">
        <v>42</v>
      </c>
      <c r="E266" t="s">
        <v>55</v>
      </c>
      <c r="F266" t="s">
        <v>255</v>
      </c>
      <c r="G266" t="s">
        <v>80</v>
      </c>
      <c r="H266" t="s">
        <v>46</v>
      </c>
      <c r="I266" t="s">
        <v>58</v>
      </c>
      <c r="J266" t="s">
        <v>59</v>
      </c>
      <c r="K266" t="s">
        <v>95</v>
      </c>
      <c r="L266" t="s">
        <v>36</v>
      </c>
      <c r="M266">
        <v>4</v>
      </c>
      <c r="N266">
        <v>16917</v>
      </c>
      <c r="O266" s="2">
        <v>0</v>
      </c>
      <c r="P266" s="2">
        <v>67668</v>
      </c>
      <c r="Q266" s="2">
        <v>53250.03</v>
      </c>
      <c r="R266" s="2">
        <v>14417.97</v>
      </c>
      <c r="S266" t="s">
        <v>37</v>
      </c>
      <c r="T266">
        <v>5</v>
      </c>
      <c r="U266" t="s">
        <v>38</v>
      </c>
      <c r="V266" t="s">
        <v>63</v>
      </c>
      <c r="W266" s="3">
        <f>Table1[[#This Row],[Profit]]/Table1[[#This Row],[Sales]]</f>
        <v>0.21306924986699768</v>
      </c>
      <c r="X266" t="str">
        <f>IF(Table1[[#This Row],[Sales]]&gt;=30000,"High Value",IF(Table1[[#This Row],[Sales]]&gt;=15000,"Medium Value","Low Value"))</f>
        <v>High Value</v>
      </c>
      <c r="Y266" t="str">
        <f>IF(Table1[[#This Row],[Quantity]]&gt;=3,"Bulk Order","Regular Order")</f>
        <v>Bulk Order</v>
      </c>
      <c r="Z266" t="str">
        <f>TEXT(Table1[[#This Row],[Order Date]],"dddd")</f>
        <v>Thursday</v>
      </c>
    </row>
    <row r="267" spans="1:26" ht="14.4" x14ac:dyDescent="0.3">
      <c r="A267" t="s">
        <v>794</v>
      </c>
      <c r="B267" t="s">
        <v>795</v>
      </c>
      <c r="C267" s="2">
        <v>46167</v>
      </c>
      <c r="D267" t="s">
        <v>28</v>
      </c>
      <c r="E267" t="s">
        <v>55</v>
      </c>
      <c r="F267" t="s">
        <v>238</v>
      </c>
      <c r="G267" t="s">
        <v>115</v>
      </c>
      <c r="H267" t="s">
        <v>32</v>
      </c>
      <c r="I267" t="s">
        <v>33</v>
      </c>
      <c r="J267" t="s">
        <v>59</v>
      </c>
      <c r="K267" t="s">
        <v>60</v>
      </c>
      <c r="L267" t="s">
        <v>61</v>
      </c>
      <c r="M267">
        <v>2</v>
      </c>
      <c r="N267">
        <v>16982</v>
      </c>
      <c r="O267" s="2">
        <v>5</v>
      </c>
      <c r="P267" s="2">
        <v>32265.8</v>
      </c>
      <c r="Q267" s="2">
        <v>25527.48</v>
      </c>
      <c r="R267" s="2">
        <v>6738.32</v>
      </c>
      <c r="S267" t="s">
        <v>50</v>
      </c>
      <c r="T267">
        <v>4</v>
      </c>
      <c r="U267" t="s">
        <v>51</v>
      </c>
      <c r="V267" t="s">
        <v>39</v>
      </c>
      <c r="W267" s="3">
        <f>Table1[[#This Row],[Profit]]/Table1[[#This Row],[Sales]]</f>
        <v>0.20883784068580355</v>
      </c>
      <c r="X267" t="str">
        <f>IF(Table1[[#This Row],[Sales]]&gt;=30000,"High Value",IF(Table1[[#This Row],[Sales]]&gt;=15000,"Medium Value","Low Value"))</f>
        <v>High Value</v>
      </c>
      <c r="Y267" t="str">
        <f>IF(Table1[[#This Row],[Quantity]]&gt;=3,"Bulk Order","Regular Order")</f>
        <v>Regular Order</v>
      </c>
      <c r="Z267" t="str">
        <f>TEXT(Table1[[#This Row],[Order Date]],"dddd")</f>
        <v>Monday</v>
      </c>
    </row>
    <row r="268" spans="1:26" ht="14.4" x14ac:dyDescent="0.3">
      <c r="A268" t="s">
        <v>796</v>
      </c>
      <c r="B268" t="s">
        <v>797</v>
      </c>
      <c r="C268" s="2">
        <v>46196</v>
      </c>
      <c r="D268" t="s">
        <v>42</v>
      </c>
      <c r="E268" t="s">
        <v>78</v>
      </c>
      <c r="F268" t="s">
        <v>798</v>
      </c>
      <c r="G268" t="s">
        <v>198</v>
      </c>
      <c r="H268" t="s">
        <v>32</v>
      </c>
      <c r="I268" t="s">
        <v>58</v>
      </c>
      <c r="J268" t="s">
        <v>59</v>
      </c>
      <c r="K268" t="s">
        <v>60</v>
      </c>
      <c r="L268" t="s">
        <v>61</v>
      </c>
      <c r="M268">
        <v>4</v>
      </c>
      <c r="N268">
        <v>17475</v>
      </c>
      <c r="O268" s="2">
        <v>5</v>
      </c>
      <c r="P268" s="2">
        <v>66405</v>
      </c>
      <c r="Q268" s="2">
        <v>52192.81</v>
      </c>
      <c r="R268" s="2">
        <v>14212.19</v>
      </c>
      <c r="S268" t="s">
        <v>81</v>
      </c>
      <c r="T268">
        <v>3</v>
      </c>
      <c r="U268" t="s">
        <v>51</v>
      </c>
      <c r="V268" t="s">
        <v>52</v>
      </c>
      <c r="W268" s="3">
        <f>Table1[[#This Row],[Profit]]/Table1[[#This Row],[Sales]]</f>
        <v>0.21402288984263235</v>
      </c>
      <c r="X268" t="str">
        <f>IF(Table1[[#This Row],[Sales]]&gt;=30000,"High Value",IF(Table1[[#This Row],[Sales]]&gt;=15000,"Medium Value","Low Value"))</f>
        <v>High Value</v>
      </c>
      <c r="Y268" t="str">
        <f>IF(Table1[[#This Row],[Quantity]]&gt;=3,"Bulk Order","Regular Order")</f>
        <v>Bulk Order</v>
      </c>
      <c r="Z268" t="str">
        <f>TEXT(Table1[[#This Row],[Order Date]],"dddd")</f>
        <v>Tuesday</v>
      </c>
    </row>
    <row r="269" spans="1:26" ht="14.4" x14ac:dyDescent="0.3">
      <c r="A269" t="s">
        <v>799</v>
      </c>
      <c r="B269" t="s">
        <v>800</v>
      </c>
      <c r="C269" s="2">
        <v>46164</v>
      </c>
      <c r="D269" t="s">
        <v>28</v>
      </c>
      <c r="E269" t="s">
        <v>43</v>
      </c>
      <c r="F269" t="s">
        <v>274</v>
      </c>
      <c r="G269" t="s">
        <v>412</v>
      </c>
      <c r="H269" t="s">
        <v>46</v>
      </c>
      <c r="I269" t="s">
        <v>33</v>
      </c>
      <c r="J269" t="s">
        <v>169</v>
      </c>
      <c r="K269" t="s">
        <v>170</v>
      </c>
      <c r="L269" t="s">
        <v>171</v>
      </c>
      <c r="M269">
        <v>2</v>
      </c>
      <c r="N269">
        <v>9693</v>
      </c>
      <c r="O269" s="2">
        <v>5</v>
      </c>
      <c r="P269" s="2">
        <v>18416.7</v>
      </c>
      <c r="Q269" s="2">
        <v>14895.27</v>
      </c>
      <c r="R269" s="2">
        <v>3521.43</v>
      </c>
      <c r="S269" t="s">
        <v>37</v>
      </c>
      <c r="T269">
        <v>3</v>
      </c>
      <c r="U269" t="s">
        <v>51</v>
      </c>
      <c r="V269" t="s">
        <v>52</v>
      </c>
      <c r="W269" s="3">
        <f>Table1[[#This Row],[Profit]]/Table1[[#This Row],[Sales]]</f>
        <v>0.19120852269950642</v>
      </c>
      <c r="X269" t="str">
        <f>IF(Table1[[#This Row],[Sales]]&gt;=30000,"High Value",IF(Table1[[#This Row],[Sales]]&gt;=15000,"Medium Value","Low Value"))</f>
        <v>Medium Value</v>
      </c>
      <c r="Y269" t="str">
        <f>IF(Table1[[#This Row],[Quantity]]&gt;=3,"Bulk Order","Regular Order")</f>
        <v>Regular Order</v>
      </c>
      <c r="Z269" t="str">
        <f>TEXT(Table1[[#This Row],[Order Date]],"dddd")</f>
        <v>Friday</v>
      </c>
    </row>
    <row r="270" spans="1:26" ht="14.4" x14ac:dyDescent="0.3">
      <c r="A270" t="s">
        <v>801</v>
      </c>
      <c r="B270" t="s">
        <v>802</v>
      </c>
      <c r="C270" s="2">
        <v>46151</v>
      </c>
      <c r="D270" t="s">
        <v>28</v>
      </c>
      <c r="E270" t="s">
        <v>78</v>
      </c>
      <c r="F270" t="s">
        <v>111</v>
      </c>
      <c r="G270" t="s">
        <v>408</v>
      </c>
      <c r="H270" t="s">
        <v>46</v>
      </c>
      <c r="I270" t="s">
        <v>33</v>
      </c>
      <c r="J270" t="s">
        <v>59</v>
      </c>
      <c r="K270" t="s">
        <v>95</v>
      </c>
      <c r="L270" t="s">
        <v>36</v>
      </c>
      <c r="M270">
        <v>2</v>
      </c>
      <c r="N270">
        <v>15107</v>
      </c>
      <c r="O270" s="2">
        <v>5</v>
      </c>
      <c r="P270" s="2">
        <v>28703.3</v>
      </c>
      <c r="Q270" s="2">
        <v>22515.08</v>
      </c>
      <c r="R270" s="2">
        <v>6188.22</v>
      </c>
      <c r="S270" t="s">
        <v>81</v>
      </c>
      <c r="T270">
        <v>5</v>
      </c>
      <c r="U270" t="s">
        <v>51</v>
      </c>
      <c r="V270" t="s">
        <v>52</v>
      </c>
      <c r="W270" s="3">
        <f>Table1[[#This Row],[Profit]]/Table1[[#This Row],[Sales]]</f>
        <v>0.21559263220605299</v>
      </c>
      <c r="X270" t="str">
        <f>IF(Table1[[#This Row],[Sales]]&gt;=30000,"High Value",IF(Table1[[#This Row],[Sales]]&gt;=15000,"Medium Value","Low Value"))</f>
        <v>Medium Value</v>
      </c>
      <c r="Y270" t="str">
        <f>IF(Table1[[#This Row],[Quantity]]&gt;=3,"Bulk Order","Regular Order")</f>
        <v>Regular Order</v>
      </c>
      <c r="Z270" t="str">
        <f>TEXT(Table1[[#This Row],[Order Date]],"dddd")</f>
        <v>Saturday</v>
      </c>
    </row>
    <row r="271" spans="1:26" ht="14.4" x14ac:dyDescent="0.3">
      <c r="A271" t="s">
        <v>803</v>
      </c>
      <c r="B271" t="s">
        <v>804</v>
      </c>
      <c r="C271" s="2">
        <v>46186</v>
      </c>
      <c r="D271" t="s">
        <v>42</v>
      </c>
      <c r="E271" t="s">
        <v>43</v>
      </c>
      <c r="F271" t="s">
        <v>366</v>
      </c>
      <c r="G271" t="s">
        <v>286</v>
      </c>
      <c r="H271" t="s">
        <v>46</v>
      </c>
      <c r="I271" t="s">
        <v>33</v>
      </c>
      <c r="J271" t="s">
        <v>47</v>
      </c>
      <c r="K271" t="s">
        <v>69</v>
      </c>
      <c r="L271" t="s">
        <v>70</v>
      </c>
      <c r="M271">
        <v>1</v>
      </c>
      <c r="N271">
        <v>7858</v>
      </c>
      <c r="O271" s="2">
        <v>10</v>
      </c>
      <c r="P271" s="2">
        <v>7072.2</v>
      </c>
      <c r="Q271" s="2">
        <v>5668.36</v>
      </c>
      <c r="R271" s="2">
        <v>1403.84</v>
      </c>
      <c r="S271" t="s">
        <v>37</v>
      </c>
      <c r="T271">
        <v>4</v>
      </c>
      <c r="U271" t="s">
        <v>51</v>
      </c>
      <c r="V271" t="s">
        <v>75</v>
      </c>
      <c r="W271" s="3">
        <f>Table1[[#This Row],[Profit]]/Table1[[#This Row],[Sales]]</f>
        <v>0.19850117360934363</v>
      </c>
      <c r="X271" t="str">
        <f>IF(Table1[[#This Row],[Sales]]&gt;=30000,"High Value",IF(Table1[[#This Row],[Sales]]&gt;=15000,"Medium Value","Low Value"))</f>
        <v>Low Value</v>
      </c>
      <c r="Y271" t="str">
        <f>IF(Table1[[#This Row],[Quantity]]&gt;=3,"Bulk Order","Regular Order")</f>
        <v>Regular Order</v>
      </c>
      <c r="Z271" t="str">
        <f>TEXT(Table1[[#This Row],[Order Date]],"dddd")</f>
        <v>Saturday</v>
      </c>
    </row>
    <row r="272" spans="1:26" ht="14.4" x14ac:dyDescent="0.3">
      <c r="A272" t="s">
        <v>805</v>
      </c>
      <c r="B272" t="s">
        <v>806</v>
      </c>
      <c r="C272" s="2">
        <v>46192</v>
      </c>
      <c r="D272" t="s">
        <v>42</v>
      </c>
      <c r="E272" t="s">
        <v>66</v>
      </c>
      <c r="F272" t="s">
        <v>79</v>
      </c>
      <c r="G272" t="s">
        <v>168</v>
      </c>
      <c r="H272" t="s">
        <v>32</v>
      </c>
      <c r="I272" t="s">
        <v>33</v>
      </c>
      <c r="J272" t="s">
        <v>47</v>
      </c>
      <c r="K272" t="s">
        <v>48</v>
      </c>
      <c r="L272" t="s">
        <v>49</v>
      </c>
      <c r="M272">
        <v>1</v>
      </c>
      <c r="N272">
        <v>7035</v>
      </c>
      <c r="O272" s="2">
        <v>15</v>
      </c>
      <c r="P272" s="2">
        <v>5979.75</v>
      </c>
      <c r="Q272" s="2">
        <v>4730.21</v>
      </c>
      <c r="R272" s="2">
        <v>1249.54</v>
      </c>
      <c r="S272" t="s">
        <v>81</v>
      </c>
      <c r="T272">
        <v>5</v>
      </c>
      <c r="U272" t="s">
        <v>51</v>
      </c>
      <c r="V272" t="s">
        <v>86</v>
      </c>
      <c r="W272" s="3">
        <f>Table1[[#This Row],[Profit]]/Table1[[#This Row],[Sales]]</f>
        <v>0.20896191312345833</v>
      </c>
      <c r="X272" t="str">
        <f>IF(Table1[[#This Row],[Sales]]&gt;=30000,"High Value",IF(Table1[[#This Row],[Sales]]&gt;=15000,"Medium Value","Low Value"))</f>
        <v>Low Value</v>
      </c>
      <c r="Y272" t="str">
        <f>IF(Table1[[#This Row],[Quantity]]&gt;=3,"Bulk Order","Regular Order")</f>
        <v>Regular Order</v>
      </c>
      <c r="Z272" t="str">
        <f>TEXT(Table1[[#This Row],[Order Date]],"dddd")</f>
        <v>Friday</v>
      </c>
    </row>
    <row r="273" spans="1:26" ht="14.4" x14ac:dyDescent="0.3">
      <c r="A273" t="s">
        <v>807</v>
      </c>
      <c r="B273" t="s">
        <v>808</v>
      </c>
      <c r="C273" s="2">
        <v>46197</v>
      </c>
      <c r="D273" t="s">
        <v>42</v>
      </c>
      <c r="E273" t="s">
        <v>29</v>
      </c>
      <c r="F273" t="s">
        <v>242</v>
      </c>
      <c r="G273" t="s">
        <v>375</v>
      </c>
      <c r="H273" t="s">
        <v>32</v>
      </c>
      <c r="I273" t="s">
        <v>33</v>
      </c>
      <c r="J273" t="s">
        <v>59</v>
      </c>
      <c r="K273" t="s">
        <v>60</v>
      </c>
      <c r="L273" t="s">
        <v>61</v>
      </c>
      <c r="M273">
        <v>2</v>
      </c>
      <c r="N273">
        <v>16356</v>
      </c>
      <c r="O273" s="2">
        <v>5</v>
      </c>
      <c r="P273" s="2">
        <v>31076.400000000001</v>
      </c>
      <c r="Q273" s="2">
        <v>24830.2</v>
      </c>
      <c r="R273" s="2">
        <v>6246.2</v>
      </c>
      <c r="S273" t="s">
        <v>37</v>
      </c>
      <c r="T273">
        <v>5</v>
      </c>
      <c r="U273" t="s">
        <v>51</v>
      </c>
      <c r="V273" t="s">
        <v>52</v>
      </c>
      <c r="W273" s="3">
        <f>Table1[[#This Row],[Profit]]/Table1[[#This Row],[Sales]]</f>
        <v>0.20099496724202287</v>
      </c>
      <c r="X273" t="str">
        <f>IF(Table1[[#This Row],[Sales]]&gt;=30000,"High Value",IF(Table1[[#This Row],[Sales]]&gt;=15000,"Medium Value","Low Value"))</f>
        <v>High Value</v>
      </c>
      <c r="Y273" t="str">
        <f>IF(Table1[[#This Row],[Quantity]]&gt;=3,"Bulk Order","Regular Order")</f>
        <v>Regular Order</v>
      </c>
      <c r="Z273" t="str">
        <f>TEXT(Table1[[#This Row],[Order Date]],"dddd")</f>
        <v>Wednesday</v>
      </c>
    </row>
    <row r="274" spans="1:26" ht="14.4" x14ac:dyDescent="0.3">
      <c r="A274" t="s">
        <v>809</v>
      </c>
      <c r="B274" t="s">
        <v>810</v>
      </c>
      <c r="C274" s="2">
        <v>46196</v>
      </c>
      <c r="D274" t="s">
        <v>42</v>
      </c>
      <c r="E274" t="s">
        <v>66</v>
      </c>
      <c r="F274" t="s">
        <v>98</v>
      </c>
      <c r="G274" t="s">
        <v>120</v>
      </c>
      <c r="H274" t="s">
        <v>46</v>
      </c>
      <c r="I274" t="s">
        <v>33</v>
      </c>
      <c r="J274" t="s">
        <v>169</v>
      </c>
      <c r="K274" t="s">
        <v>170</v>
      </c>
      <c r="L274" t="s">
        <v>171</v>
      </c>
      <c r="M274">
        <v>1</v>
      </c>
      <c r="N274">
        <v>9240</v>
      </c>
      <c r="O274" s="2">
        <v>15</v>
      </c>
      <c r="P274" s="2">
        <v>7854</v>
      </c>
      <c r="Q274" s="2">
        <v>6381.43</v>
      </c>
      <c r="R274" s="2">
        <v>1472.57</v>
      </c>
      <c r="S274" t="s">
        <v>81</v>
      </c>
      <c r="T274">
        <v>5</v>
      </c>
      <c r="U274" t="s">
        <v>51</v>
      </c>
      <c r="V274" t="s">
        <v>39</v>
      </c>
      <c r="W274" s="3">
        <f>Table1[[#This Row],[Profit]]/Table1[[#This Row],[Sales]]</f>
        <v>0.18749299719887955</v>
      </c>
      <c r="X274" t="str">
        <f>IF(Table1[[#This Row],[Sales]]&gt;=30000,"High Value",IF(Table1[[#This Row],[Sales]]&gt;=15000,"Medium Value","Low Value"))</f>
        <v>Low Value</v>
      </c>
      <c r="Y274" t="str">
        <f>IF(Table1[[#This Row],[Quantity]]&gt;=3,"Bulk Order","Regular Order")</f>
        <v>Regular Order</v>
      </c>
      <c r="Z274" t="str">
        <f>TEXT(Table1[[#This Row],[Order Date]],"dddd")</f>
        <v>Tuesday</v>
      </c>
    </row>
    <row r="275" spans="1:26" ht="14.4" x14ac:dyDescent="0.3">
      <c r="A275" t="s">
        <v>811</v>
      </c>
      <c r="B275" t="s">
        <v>812</v>
      </c>
      <c r="C275" s="2">
        <v>46199</v>
      </c>
      <c r="D275" t="s">
        <v>42</v>
      </c>
      <c r="E275" t="s">
        <v>66</v>
      </c>
      <c r="F275" t="s">
        <v>56</v>
      </c>
      <c r="G275" t="s">
        <v>229</v>
      </c>
      <c r="H275" t="s">
        <v>32</v>
      </c>
      <c r="I275" t="s">
        <v>58</v>
      </c>
      <c r="J275" t="s">
        <v>59</v>
      </c>
      <c r="K275" t="s">
        <v>60</v>
      </c>
      <c r="L275" t="s">
        <v>61</v>
      </c>
      <c r="M275">
        <v>4</v>
      </c>
      <c r="N275">
        <v>16423</v>
      </c>
      <c r="O275" s="2">
        <v>5</v>
      </c>
      <c r="P275" s="2">
        <v>62407.4</v>
      </c>
      <c r="Q275" s="2">
        <v>49089.87</v>
      </c>
      <c r="R275" s="2">
        <v>13317.53</v>
      </c>
      <c r="S275" t="s">
        <v>37</v>
      </c>
      <c r="T275">
        <v>5</v>
      </c>
      <c r="U275" t="s">
        <v>51</v>
      </c>
      <c r="V275" t="s">
        <v>39</v>
      </c>
      <c r="W275" s="3">
        <f>Table1[[#This Row],[Profit]]/Table1[[#This Row],[Sales]]</f>
        <v>0.21339664847437964</v>
      </c>
      <c r="X275" t="str">
        <f>IF(Table1[[#This Row],[Sales]]&gt;=30000,"High Value",IF(Table1[[#This Row],[Sales]]&gt;=15000,"Medium Value","Low Value"))</f>
        <v>High Value</v>
      </c>
      <c r="Y275" t="str">
        <f>IF(Table1[[#This Row],[Quantity]]&gt;=3,"Bulk Order","Regular Order")</f>
        <v>Bulk Order</v>
      </c>
      <c r="Z275" t="str">
        <f>TEXT(Table1[[#This Row],[Order Date]],"dddd")</f>
        <v>Friday</v>
      </c>
    </row>
    <row r="276" spans="1:26" ht="14.4" x14ac:dyDescent="0.3">
      <c r="A276" t="s">
        <v>813</v>
      </c>
      <c r="B276" t="s">
        <v>814</v>
      </c>
      <c r="C276" s="2">
        <v>46203</v>
      </c>
      <c r="D276" t="s">
        <v>42</v>
      </c>
      <c r="E276" t="s">
        <v>133</v>
      </c>
      <c r="F276" t="s">
        <v>537</v>
      </c>
      <c r="G276" t="s">
        <v>245</v>
      </c>
      <c r="H276" t="s">
        <v>46</v>
      </c>
      <c r="I276" t="s">
        <v>33</v>
      </c>
      <c r="J276" t="s">
        <v>47</v>
      </c>
      <c r="K276" t="s">
        <v>69</v>
      </c>
      <c r="L276" t="s">
        <v>70</v>
      </c>
      <c r="M276">
        <v>2</v>
      </c>
      <c r="N276">
        <v>8419</v>
      </c>
      <c r="O276" s="2">
        <v>10</v>
      </c>
      <c r="P276" s="2">
        <v>15154.2</v>
      </c>
      <c r="Q276" s="2">
        <v>12211.78</v>
      </c>
      <c r="R276" s="2">
        <v>2942.42</v>
      </c>
      <c r="S276" t="s">
        <v>81</v>
      </c>
      <c r="T276">
        <v>5</v>
      </c>
      <c r="U276" t="s">
        <v>51</v>
      </c>
      <c r="V276" t="s">
        <v>52</v>
      </c>
      <c r="W276" s="3">
        <f>Table1[[#This Row],[Profit]]/Table1[[#This Row],[Sales]]</f>
        <v>0.19416531390637579</v>
      </c>
      <c r="X276" t="str">
        <f>IF(Table1[[#This Row],[Sales]]&gt;=30000,"High Value",IF(Table1[[#This Row],[Sales]]&gt;=15000,"Medium Value","Low Value"))</f>
        <v>Medium Value</v>
      </c>
      <c r="Y276" t="str">
        <f>IF(Table1[[#This Row],[Quantity]]&gt;=3,"Bulk Order","Regular Order")</f>
        <v>Regular Order</v>
      </c>
      <c r="Z276" t="str">
        <f>TEXT(Table1[[#This Row],[Order Date]],"dddd")</f>
        <v>Tuesday</v>
      </c>
    </row>
    <row r="277" spans="1:26" ht="14.4" x14ac:dyDescent="0.3">
      <c r="A277" t="s">
        <v>815</v>
      </c>
      <c r="B277" t="s">
        <v>816</v>
      </c>
      <c r="C277" s="2">
        <v>46154</v>
      </c>
      <c r="D277" t="s">
        <v>28</v>
      </c>
      <c r="E277" t="s">
        <v>55</v>
      </c>
      <c r="F277" t="s">
        <v>817</v>
      </c>
      <c r="G277" t="s">
        <v>239</v>
      </c>
      <c r="H277" t="s">
        <v>46</v>
      </c>
      <c r="I277" t="s">
        <v>33</v>
      </c>
      <c r="J277" t="s">
        <v>47</v>
      </c>
      <c r="K277" t="s">
        <v>48</v>
      </c>
      <c r="L277" t="s">
        <v>49</v>
      </c>
      <c r="M277">
        <v>1</v>
      </c>
      <c r="N277">
        <v>7172</v>
      </c>
      <c r="O277" s="2">
        <v>10</v>
      </c>
      <c r="P277" s="2">
        <v>6454.8</v>
      </c>
      <c r="Q277" s="2">
        <v>5045.57</v>
      </c>
      <c r="R277" s="2">
        <v>1409.23</v>
      </c>
      <c r="S277" t="s">
        <v>37</v>
      </c>
      <c r="T277">
        <v>5</v>
      </c>
      <c r="U277" t="s">
        <v>51</v>
      </c>
      <c r="V277" t="s">
        <v>86</v>
      </c>
      <c r="W277" s="3">
        <f>Table1[[#This Row],[Profit]]/Table1[[#This Row],[Sales]]</f>
        <v>0.21832279853752246</v>
      </c>
      <c r="X277" t="str">
        <f>IF(Table1[[#This Row],[Sales]]&gt;=30000,"High Value",IF(Table1[[#This Row],[Sales]]&gt;=15000,"Medium Value","Low Value"))</f>
        <v>Low Value</v>
      </c>
      <c r="Y277" t="str">
        <f>IF(Table1[[#This Row],[Quantity]]&gt;=3,"Bulk Order","Regular Order")</f>
        <v>Regular Order</v>
      </c>
      <c r="Z277" t="str">
        <f>TEXT(Table1[[#This Row],[Order Date]],"dddd")</f>
        <v>Tuesday</v>
      </c>
    </row>
    <row r="278" spans="1:26" ht="14.4" x14ac:dyDescent="0.3">
      <c r="A278" t="s">
        <v>818</v>
      </c>
      <c r="B278" t="s">
        <v>819</v>
      </c>
      <c r="C278" s="2">
        <v>46145</v>
      </c>
      <c r="D278" t="s">
        <v>28</v>
      </c>
      <c r="E278" t="s">
        <v>133</v>
      </c>
      <c r="F278" t="s">
        <v>432</v>
      </c>
      <c r="G278" t="s">
        <v>108</v>
      </c>
      <c r="H278" t="s">
        <v>32</v>
      </c>
      <c r="I278" t="s">
        <v>33</v>
      </c>
      <c r="J278" t="s">
        <v>59</v>
      </c>
      <c r="K278" t="s">
        <v>60</v>
      </c>
      <c r="L278" t="s">
        <v>61</v>
      </c>
      <c r="M278">
        <v>1</v>
      </c>
      <c r="N278">
        <v>15538</v>
      </c>
      <c r="O278" s="2">
        <v>0</v>
      </c>
      <c r="P278" s="2">
        <v>15538</v>
      </c>
      <c r="Q278" s="2">
        <v>12556.89</v>
      </c>
      <c r="R278" s="2">
        <v>2981.11</v>
      </c>
      <c r="S278" t="s">
        <v>37</v>
      </c>
      <c r="T278">
        <v>5</v>
      </c>
      <c r="U278" t="s">
        <v>38</v>
      </c>
      <c r="V278" t="s">
        <v>63</v>
      </c>
      <c r="W278" s="3">
        <f>Table1[[#This Row],[Profit]]/Table1[[#This Row],[Sales]]</f>
        <v>0.19185931265285108</v>
      </c>
      <c r="X278" t="str">
        <f>IF(Table1[[#This Row],[Sales]]&gt;=30000,"High Value",IF(Table1[[#This Row],[Sales]]&gt;=15000,"Medium Value","Low Value"))</f>
        <v>Medium Value</v>
      </c>
      <c r="Y278" t="str">
        <f>IF(Table1[[#This Row],[Quantity]]&gt;=3,"Bulk Order","Regular Order")</f>
        <v>Regular Order</v>
      </c>
      <c r="Z278" t="str">
        <f>TEXT(Table1[[#This Row],[Order Date]],"dddd")</f>
        <v>Sunday</v>
      </c>
    </row>
    <row r="279" spans="1:26" ht="14.4" x14ac:dyDescent="0.3">
      <c r="A279" t="s">
        <v>820</v>
      </c>
      <c r="B279" t="s">
        <v>821</v>
      </c>
      <c r="C279" s="2">
        <v>46201</v>
      </c>
      <c r="D279" t="s">
        <v>42</v>
      </c>
      <c r="E279" t="s">
        <v>66</v>
      </c>
      <c r="F279" t="s">
        <v>73</v>
      </c>
      <c r="G279" t="s">
        <v>115</v>
      </c>
      <c r="H279" t="s">
        <v>32</v>
      </c>
      <c r="I279" t="s">
        <v>33</v>
      </c>
      <c r="J279" t="s">
        <v>59</v>
      </c>
      <c r="K279" t="s">
        <v>60</v>
      </c>
      <c r="L279" t="s">
        <v>61</v>
      </c>
      <c r="M279">
        <v>1</v>
      </c>
      <c r="N279">
        <v>17758</v>
      </c>
      <c r="O279" s="2">
        <v>5</v>
      </c>
      <c r="P279" s="2">
        <v>16870.099999999999</v>
      </c>
      <c r="Q279" s="2">
        <v>13465.48</v>
      </c>
      <c r="R279" s="2">
        <v>3404.62</v>
      </c>
      <c r="S279" t="s">
        <v>81</v>
      </c>
      <c r="T279">
        <v>5</v>
      </c>
      <c r="U279" t="s">
        <v>90</v>
      </c>
      <c r="V279" t="s">
        <v>63</v>
      </c>
      <c r="W279" s="3">
        <f>Table1[[#This Row],[Profit]]/Table1[[#This Row],[Sales]]</f>
        <v>0.20181386002454046</v>
      </c>
      <c r="X279" t="str">
        <f>IF(Table1[[#This Row],[Sales]]&gt;=30000,"High Value",IF(Table1[[#This Row],[Sales]]&gt;=15000,"Medium Value","Low Value"))</f>
        <v>Medium Value</v>
      </c>
      <c r="Y279" t="str">
        <f>IF(Table1[[#This Row],[Quantity]]&gt;=3,"Bulk Order","Regular Order")</f>
        <v>Regular Order</v>
      </c>
      <c r="Z279" t="str">
        <f>TEXT(Table1[[#This Row],[Order Date]],"dddd")</f>
        <v>Sunday</v>
      </c>
    </row>
    <row r="280" spans="1:26" ht="14.4" x14ac:dyDescent="0.3">
      <c r="A280" t="s">
        <v>822</v>
      </c>
      <c r="B280" t="s">
        <v>823</v>
      </c>
      <c r="C280" s="2">
        <v>46145</v>
      </c>
      <c r="D280" t="s">
        <v>28</v>
      </c>
      <c r="E280" t="s">
        <v>55</v>
      </c>
      <c r="F280" t="s">
        <v>515</v>
      </c>
      <c r="G280" t="s">
        <v>57</v>
      </c>
      <c r="H280" t="s">
        <v>46</v>
      </c>
      <c r="I280" t="s">
        <v>33</v>
      </c>
      <c r="J280" t="s">
        <v>34</v>
      </c>
      <c r="K280" t="s">
        <v>35</v>
      </c>
      <c r="L280" t="s">
        <v>36</v>
      </c>
      <c r="M280">
        <v>2</v>
      </c>
      <c r="N280">
        <v>13065</v>
      </c>
      <c r="O280" s="2">
        <v>5</v>
      </c>
      <c r="P280" s="2">
        <v>24823.5</v>
      </c>
      <c r="Q280" s="2">
        <v>20055.64</v>
      </c>
      <c r="R280" s="2">
        <v>4767.8599999999997</v>
      </c>
      <c r="S280" t="s">
        <v>50</v>
      </c>
      <c r="T280">
        <v>4</v>
      </c>
      <c r="U280" t="s">
        <v>51</v>
      </c>
      <c r="V280" t="s">
        <v>86</v>
      </c>
      <c r="W280" s="3">
        <f>Table1[[#This Row],[Profit]]/Table1[[#This Row],[Sales]]</f>
        <v>0.192070417145044</v>
      </c>
      <c r="X280" t="str">
        <f>IF(Table1[[#This Row],[Sales]]&gt;=30000,"High Value",IF(Table1[[#This Row],[Sales]]&gt;=15000,"Medium Value","Low Value"))</f>
        <v>Medium Value</v>
      </c>
      <c r="Y280" t="str">
        <f>IF(Table1[[#This Row],[Quantity]]&gt;=3,"Bulk Order","Regular Order")</f>
        <v>Regular Order</v>
      </c>
      <c r="Z280" t="str">
        <f>TEXT(Table1[[#This Row],[Order Date]],"dddd")</f>
        <v>Sunday</v>
      </c>
    </row>
    <row r="281" spans="1:26" ht="14.4" x14ac:dyDescent="0.3">
      <c r="A281" t="s">
        <v>824</v>
      </c>
      <c r="B281" t="s">
        <v>825</v>
      </c>
      <c r="C281" s="2">
        <v>46191</v>
      </c>
      <c r="D281" t="s">
        <v>42</v>
      </c>
      <c r="E281" t="s">
        <v>55</v>
      </c>
      <c r="F281" t="s">
        <v>435</v>
      </c>
      <c r="G281" t="s">
        <v>124</v>
      </c>
      <c r="H281" t="s">
        <v>46</v>
      </c>
      <c r="I281" t="s">
        <v>33</v>
      </c>
      <c r="J281" t="s">
        <v>47</v>
      </c>
      <c r="K281" t="s">
        <v>48</v>
      </c>
      <c r="L281" t="s">
        <v>49</v>
      </c>
      <c r="M281">
        <v>1</v>
      </c>
      <c r="N281">
        <v>7910</v>
      </c>
      <c r="O281" s="2">
        <v>15</v>
      </c>
      <c r="P281" s="2">
        <v>6723.5</v>
      </c>
      <c r="Q281" s="2">
        <v>5482.92</v>
      </c>
      <c r="R281" s="2">
        <v>1240.58</v>
      </c>
      <c r="S281" t="s">
        <v>50</v>
      </c>
      <c r="T281">
        <v>5</v>
      </c>
      <c r="U281" t="s">
        <v>51</v>
      </c>
      <c r="V281" t="s">
        <v>75</v>
      </c>
      <c r="W281" s="3">
        <f>Table1[[#This Row],[Profit]]/Table1[[#This Row],[Sales]]</f>
        <v>0.18451401799657915</v>
      </c>
      <c r="X281" t="str">
        <f>IF(Table1[[#This Row],[Sales]]&gt;=30000,"High Value",IF(Table1[[#This Row],[Sales]]&gt;=15000,"Medium Value","Low Value"))</f>
        <v>Low Value</v>
      </c>
      <c r="Y281" t="str">
        <f>IF(Table1[[#This Row],[Quantity]]&gt;=3,"Bulk Order","Regular Order")</f>
        <v>Regular Order</v>
      </c>
      <c r="Z281" t="str">
        <f>TEXT(Table1[[#This Row],[Order Date]],"dddd")</f>
        <v>Thursday</v>
      </c>
    </row>
    <row r="282" spans="1:26" ht="14.4" x14ac:dyDescent="0.3">
      <c r="A282" t="s">
        <v>826</v>
      </c>
      <c r="B282" t="s">
        <v>827</v>
      </c>
      <c r="C282" s="2">
        <v>46174</v>
      </c>
      <c r="D282" t="s">
        <v>42</v>
      </c>
      <c r="E282" t="s">
        <v>133</v>
      </c>
      <c r="F282" t="s">
        <v>537</v>
      </c>
      <c r="G282" t="s">
        <v>389</v>
      </c>
      <c r="H282" t="s">
        <v>46</v>
      </c>
      <c r="I282" t="s">
        <v>33</v>
      </c>
      <c r="J282" t="s">
        <v>169</v>
      </c>
      <c r="K282" t="s">
        <v>170</v>
      </c>
      <c r="L282" t="s">
        <v>171</v>
      </c>
      <c r="M282">
        <v>2</v>
      </c>
      <c r="N282">
        <v>9142</v>
      </c>
      <c r="O282" s="2">
        <v>5</v>
      </c>
      <c r="P282" s="2">
        <v>17369.8</v>
      </c>
      <c r="Q282" s="2">
        <v>13824.17</v>
      </c>
      <c r="R282" s="2">
        <v>3545.63</v>
      </c>
      <c r="S282" t="s">
        <v>50</v>
      </c>
      <c r="T282">
        <v>5</v>
      </c>
      <c r="U282" t="s">
        <v>51</v>
      </c>
      <c r="V282" t="s">
        <v>75</v>
      </c>
      <c r="W282" s="3">
        <f>Table1[[#This Row],[Profit]]/Table1[[#This Row],[Sales]]</f>
        <v>0.20412612695598109</v>
      </c>
      <c r="X282" t="str">
        <f>IF(Table1[[#This Row],[Sales]]&gt;=30000,"High Value",IF(Table1[[#This Row],[Sales]]&gt;=15000,"Medium Value","Low Value"))</f>
        <v>Medium Value</v>
      </c>
      <c r="Y282" t="str">
        <f>IF(Table1[[#This Row],[Quantity]]&gt;=3,"Bulk Order","Regular Order")</f>
        <v>Regular Order</v>
      </c>
      <c r="Z282" t="str">
        <f>TEXT(Table1[[#This Row],[Order Date]],"dddd")</f>
        <v>Monday</v>
      </c>
    </row>
    <row r="283" spans="1:26" ht="14.4" x14ac:dyDescent="0.3">
      <c r="A283" t="s">
        <v>828</v>
      </c>
      <c r="B283" t="s">
        <v>829</v>
      </c>
      <c r="C283" s="2">
        <v>46191</v>
      </c>
      <c r="D283" t="s">
        <v>42</v>
      </c>
      <c r="E283" t="s">
        <v>55</v>
      </c>
      <c r="F283" t="s">
        <v>791</v>
      </c>
      <c r="G283" t="s">
        <v>31</v>
      </c>
      <c r="H283" t="s">
        <v>32</v>
      </c>
      <c r="I283" t="s">
        <v>33</v>
      </c>
      <c r="J283" t="s">
        <v>59</v>
      </c>
      <c r="K283" t="s">
        <v>95</v>
      </c>
      <c r="L283" t="s">
        <v>36</v>
      </c>
      <c r="M283">
        <v>1</v>
      </c>
      <c r="N283">
        <v>15498</v>
      </c>
      <c r="O283" s="2">
        <v>5</v>
      </c>
      <c r="P283" s="2">
        <v>14723.1</v>
      </c>
      <c r="Q283" s="2">
        <v>11612.63</v>
      </c>
      <c r="R283" s="2">
        <v>3110.47</v>
      </c>
      <c r="S283" t="s">
        <v>37</v>
      </c>
      <c r="T283">
        <v>5</v>
      </c>
      <c r="U283" t="s">
        <v>51</v>
      </c>
      <c r="V283" t="s">
        <v>39</v>
      </c>
      <c r="W283" s="3">
        <f>Table1[[#This Row],[Profit]]/Table1[[#This Row],[Sales]]</f>
        <v>0.21126461139298108</v>
      </c>
      <c r="X283" t="str">
        <f>IF(Table1[[#This Row],[Sales]]&gt;=30000,"High Value",IF(Table1[[#This Row],[Sales]]&gt;=15000,"Medium Value","Low Value"))</f>
        <v>Low Value</v>
      </c>
      <c r="Y283" t="str">
        <f>IF(Table1[[#This Row],[Quantity]]&gt;=3,"Bulk Order","Regular Order")</f>
        <v>Regular Order</v>
      </c>
      <c r="Z283" t="str">
        <f>TEXT(Table1[[#This Row],[Order Date]],"dddd")</f>
        <v>Thursday</v>
      </c>
    </row>
    <row r="284" spans="1:26" ht="14.4" x14ac:dyDescent="0.3">
      <c r="A284" t="s">
        <v>830</v>
      </c>
      <c r="B284" t="s">
        <v>831</v>
      </c>
      <c r="C284" s="2">
        <v>46193</v>
      </c>
      <c r="D284" t="s">
        <v>42</v>
      </c>
      <c r="E284" t="s">
        <v>43</v>
      </c>
      <c r="F284" t="s">
        <v>44</v>
      </c>
      <c r="G284" t="s">
        <v>198</v>
      </c>
      <c r="H284" t="s">
        <v>32</v>
      </c>
      <c r="I284" t="s">
        <v>33</v>
      </c>
      <c r="J284" t="s">
        <v>59</v>
      </c>
      <c r="K284" t="s">
        <v>60</v>
      </c>
      <c r="L284" t="s">
        <v>61</v>
      </c>
      <c r="M284">
        <v>2</v>
      </c>
      <c r="N284">
        <v>15803</v>
      </c>
      <c r="O284" s="2">
        <v>5</v>
      </c>
      <c r="P284" s="2">
        <v>30025.7</v>
      </c>
      <c r="Q284" s="2">
        <v>23768.51</v>
      </c>
      <c r="R284" s="2">
        <v>6257.19</v>
      </c>
      <c r="S284" t="s">
        <v>62</v>
      </c>
      <c r="T284">
        <v>5</v>
      </c>
      <c r="U284" t="s">
        <v>51</v>
      </c>
      <c r="V284" t="s">
        <v>63</v>
      </c>
      <c r="W284" s="3">
        <f>Table1[[#This Row],[Profit]]/Table1[[#This Row],[Sales]]</f>
        <v>0.20839447539940784</v>
      </c>
      <c r="X284" t="str">
        <f>IF(Table1[[#This Row],[Sales]]&gt;=30000,"High Value",IF(Table1[[#This Row],[Sales]]&gt;=15000,"Medium Value","Low Value"))</f>
        <v>High Value</v>
      </c>
      <c r="Y284" t="str">
        <f>IF(Table1[[#This Row],[Quantity]]&gt;=3,"Bulk Order","Regular Order")</f>
        <v>Regular Order</v>
      </c>
      <c r="Z284" t="str">
        <f>TEXT(Table1[[#This Row],[Order Date]],"dddd")</f>
        <v>Saturday</v>
      </c>
    </row>
    <row r="285" spans="1:26" ht="14.4" x14ac:dyDescent="0.3">
      <c r="A285" t="s">
        <v>832</v>
      </c>
      <c r="B285" t="s">
        <v>833</v>
      </c>
      <c r="C285" s="2">
        <v>46180</v>
      </c>
      <c r="D285" t="s">
        <v>42</v>
      </c>
      <c r="E285" t="s">
        <v>29</v>
      </c>
      <c r="F285" t="s">
        <v>741</v>
      </c>
      <c r="G285" t="s">
        <v>375</v>
      </c>
      <c r="H285" t="s">
        <v>32</v>
      </c>
      <c r="I285" t="s">
        <v>33</v>
      </c>
      <c r="J285" t="s">
        <v>59</v>
      </c>
      <c r="K285" t="s">
        <v>60</v>
      </c>
      <c r="L285" t="s">
        <v>61</v>
      </c>
      <c r="M285">
        <v>2</v>
      </c>
      <c r="N285">
        <v>17606</v>
      </c>
      <c r="O285" s="2">
        <v>0</v>
      </c>
      <c r="P285" s="2">
        <v>35212</v>
      </c>
      <c r="Q285" s="2">
        <v>27971.55</v>
      </c>
      <c r="R285" s="2">
        <v>7240.45</v>
      </c>
      <c r="S285" t="s">
        <v>37</v>
      </c>
      <c r="T285">
        <v>4</v>
      </c>
      <c r="U285" t="s">
        <v>51</v>
      </c>
      <c r="V285" t="s">
        <v>52</v>
      </c>
      <c r="W285" s="3">
        <f>Table1[[#This Row],[Profit]]/Table1[[#This Row],[Sales]]</f>
        <v>0.20562450301033738</v>
      </c>
      <c r="X285" t="str">
        <f>IF(Table1[[#This Row],[Sales]]&gt;=30000,"High Value",IF(Table1[[#This Row],[Sales]]&gt;=15000,"Medium Value","Low Value"))</f>
        <v>High Value</v>
      </c>
      <c r="Y285" t="str">
        <f>IF(Table1[[#This Row],[Quantity]]&gt;=3,"Bulk Order","Regular Order")</f>
        <v>Regular Order</v>
      </c>
      <c r="Z285" t="str">
        <f>TEXT(Table1[[#This Row],[Order Date]],"dddd")</f>
        <v>Sunday</v>
      </c>
    </row>
    <row r="286" spans="1:26" ht="14.4" x14ac:dyDescent="0.3">
      <c r="A286" t="s">
        <v>834</v>
      </c>
      <c r="B286" t="s">
        <v>835</v>
      </c>
      <c r="C286" s="2">
        <v>46151</v>
      </c>
      <c r="D286" t="s">
        <v>28</v>
      </c>
      <c r="E286" t="s">
        <v>133</v>
      </c>
      <c r="F286" t="s">
        <v>185</v>
      </c>
      <c r="G286" t="s">
        <v>108</v>
      </c>
      <c r="H286" t="s">
        <v>32</v>
      </c>
      <c r="I286" t="s">
        <v>33</v>
      </c>
      <c r="J286" t="s">
        <v>59</v>
      </c>
      <c r="K286" t="s">
        <v>60</v>
      </c>
      <c r="L286" t="s">
        <v>61</v>
      </c>
      <c r="M286">
        <v>1</v>
      </c>
      <c r="N286">
        <v>16338</v>
      </c>
      <c r="O286" s="2">
        <v>5</v>
      </c>
      <c r="P286" s="2">
        <v>15521.1</v>
      </c>
      <c r="Q286" s="2">
        <v>12625.76</v>
      </c>
      <c r="R286" s="2">
        <v>2895.34</v>
      </c>
      <c r="S286" t="s">
        <v>37</v>
      </c>
      <c r="T286">
        <v>5</v>
      </c>
      <c r="U286" t="s">
        <v>51</v>
      </c>
      <c r="V286" t="s">
        <v>63</v>
      </c>
      <c r="W286" s="3">
        <f>Table1[[#This Row],[Profit]]/Table1[[#This Row],[Sales]]</f>
        <v>0.18654219095296082</v>
      </c>
      <c r="X286" t="str">
        <f>IF(Table1[[#This Row],[Sales]]&gt;=30000,"High Value",IF(Table1[[#This Row],[Sales]]&gt;=15000,"Medium Value","Low Value"))</f>
        <v>Medium Value</v>
      </c>
      <c r="Y286" t="str">
        <f>IF(Table1[[#This Row],[Quantity]]&gt;=3,"Bulk Order","Regular Order")</f>
        <v>Regular Order</v>
      </c>
      <c r="Z286" t="str">
        <f>TEXT(Table1[[#This Row],[Order Date]],"dddd")</f>
        <v>Saturday</v>
      </c>
    </row>
    <row r="287" spans="1:26" ht="14.4" x14ac:dyDescent="0.3">
      <c r="A287" t="s">
        <v>836</v>
      </c>
      <c r="B287" t="s">
        <v>837</v>
      </c>
      <c r="C287" s="2">
        <v>46150</v>
      </c>
      <c r="D287" t="s">
        <v>28</v>
      </c>
      <c r="E287" t="s">
        <v>55</v>
      </c>
      <c r="F287" t="s">
        <v>310</v>
      </c>
      <c r="G287" t="s">
        <v>94</v>
      </c>
      <c r="H287" t="s">
        <v>46</v>
      </c>
      <c r="I287" t="s">
        <v>33</v>
      </c>
      <c r="J287" t="s">
        <v>59</v>
      </c>
      <c r="K287" t="s">
        <v>60</v>
      </c>
      <c r="L287" t="s">
        <v>61</v>
      </c>
      <c r="M287">
        <v>2</v>
      </c>
      <c r="N287">
        <v>17998</v>
      </c>
      <c r="O287" s="2">
        <v>10</v>
      </c>
      <c r="P287" s="2">
        <v>32396.400000000001</v>
      </c>
      <c r="Q287" s="2">
        <v>26462.53</v>
      </c>
      <c r="R287" s="2">
        <v>5933.87</v>
      </c>
      <c r="S287" t="s">
        <v>37</v>
      </c>
      <c r="T287">
        <v>5</v>
      </c>
      <c r="U287" t="s">
        <v>38</v>
      </c>
      <c r="V287" t="s">
        <v>86</v>
      </c>
      <c r="W287" s="3">
        <f>Table1[[#This Row],[Profit]]/Table1[[#This Row],[Sales]]</f>
        <v>0.18316448741218158</v>
      </c>
      <c r="X287" t="str">
        <f>IF(Table1[[#This Row],[Sales]]&gt;=30000,"High Value",IF(Table1[[#This Row],[Sales]]&gt;=15000,"Medium Value","Low Value"))</f>
        <v>High Value</v>
      </c>
      <c r="Y287" t="str">
        <f>IF(Table1[[#This Row],[Quantity]]&gt;=3,"Bulk Order","Regular Order")</f>
        <v>Regular Order</v>
      </c>
      <c r="Z287" t="str">
        <f>TEXT(Table1[[#This Row],[Order Date]],"dddd")</f>
        <v>Friday</v>
      </c>
    </row>
    <row r="288" spans="1:26" ht="14.4" x14ac:dyDescent="0.3">
      <c r="A288" t="s">
        <v>838</v>
      </c>
      <c r="B288" t="s">
        <v>839</v>
      </c>
      <c r="C288" s="2">
        <v>46198</v>
      </c>
      <c r="D288" t="s">
        <v>42</v>
      </c>
      <c r="E288" t="s">
        <v>55</v>
      </c>
      <c r="F288" t="s">
        <v>614</v>
      </c>
      <c r="G288" t="s">
        <v>412</v>
      </c>
      <c r="H288" t="s">
        <v>46</v>
      </c>
      <c r="I288" t="s">
        <v>58</v>
      </c>
      <c r="J288" t="s">
        <v>47</v>
      </c>
      <c r="K288" t="s">
        <v>69</v>
      </c>
      <c r="L288" t="s">
        <v>70</v>
      </c>
      <c r="M288">
        <v>4</v>
      </c>
      <c r="N288">
        <v>8438</v>
      </c>
      <c r="O288" s="2">
        <v>10</v>
      </c>
      <c r="P288" s="2">
        <v>30376.799999999999</v>
      </c>
      <c r="Q288" s="2">
        <v>23984.3</v>
      </c>
      <c r="R288" s="2">
        <v>6392.5</v>
      </c>
      <c r="S288" t="s">
        <v>37</v>
      </c>
      <c r="T288">
        <v>5</v>
      </c>
      <c r="U288" t="s">
        <v>51</v>
      </c>
      <c r="V288" t="s">
        <v>63</v>
      </c>
      <c r="W288" s="3">
        <f>Table1[[#This Row],[Profit]]/Table1[[#This Row],[Sales]]</f>
        <v>0.21044020436649022</v>
      </c>
      <c r="X288" t="str">
        <f>IF(Table1[[#This Row],[Sales]]&gt;=30000,"High Value",IF(Table1[[#This Row],[Sales]]&gt;=15000,"Medium Value","Low Value"))</f>
        <v>High Value</v>
      </c>
      <c r="Y288" t="str">
        <f>IF(Table1[[#This Row],[Quantity]]&gt;=3,"Bulk Order","Regular Order")</f>
        <v>Bulk Order</v>
      </c>
      <c r="Z288" t="str">
        <f>TEXT(Table1[[#This Row],[Order Date]],"dddd")</f>
        <v>Thursday</v>
      </c>
    </row>
    <row r="289" spans="1:26" ht="14.4" x14ac:dyDescent="0.3">
      <c r="A289" t="s">
        <v>840</v>
      </c>
      <c r="B289" t="s">
        <v>841</v>
      </c>
      <c r="C289" s="2">
        <v>46154</v>
      </c>
      <c r="D289" t="s">
        <v>28</v>
      </c>
      <c r="E289" t="s">
        <v>55</v>
      </c>
      <c r="F289" t="s">
        <v>842</v>
      </c>
      <c r="G289" t="s">
        <v>99</v>
      </c>
      <c r="H289" t="s">
        <v>46</v>
      </c>
      <c r="I289" t="s">
        <v>33</v>
      </c>
      <c r="J289" t="s">
        <v>59</v>
      </c>
      <c r="K289" t="s">
        <v>60</v>
      </c>
      <c r="L289" t="s">
        <v>61</v>
      </c>
      <c r="M289">
        <v>1</v>
      </c>
      <c r="N289">
        <v>16676</v>
      </c>
      <c r="O289" s="2">
        <v>5</v>
      </c>
      <c r="P289" s="2">
        <v>15842.2</v>
      </c>
      <c r="Q289" s="2">
        <v>12554.68</v>
      </c>
      <c r="R289" s="2">
        <v>3287.52</v>
      </c>
      <c r="S289" t="s">
        <v>37</v>
      </c>
      <c r="T289">
        <v>4</v>
      </c>
      <c r="U289" t="s">
        <v>51</v>
      </c>
      <c r="V289" t="s">
        <v>39</v>
      </c>
      <c r="W289" s="3">
        <f>Table1[[#This Row],[Profit]]/Table1[[#This Row],[Sales]]</f>
        <v>0.20751663279090024</v>
      </c>
      <c r="X289" t="str">
        <f>IF(Table1[[#This Row],[Sales]]&gt;=30000,"High Value",IF(Table1[[#This Row],[Sales]]&gt;=15000,"Medium Value","Low Value"))</f>
        <v>Medium Value</v>
      </c>
      <c r="Y289" t="str">
        <f>IF(Table1[[#This Row],[Quantity]]&gt;=3,"Bulk Order","Regular Order")</f>
        <v>Regular Order</v>
      </c>
      <c r="Z289" t="str">
        <f>TEXT(Table1[[#This Row],[Order Date]],"dddd")</f>
        <v>Tuesday</v>
      </c>
    </row>
    <row r="290" spans="1:26" ht="14.4" x14ac:dyDescent="0.3">
      <c r="A290" t="s">
        <v>843</v>
      </c>
      <c r="B290" t="s">
        <v>844</v>
      </c>
      <c r="C290" s="2">
        <v>46147</v>
      </c>
      <c r="D290" t="s">
        <v>28</v>
      </c>
      <c r="E290" t="s">
        <v>55</v>
      </c>
      <c r="F290" t="s">
        <v>224</v>
      </c>
      <c r="G290" t="s">
        <v>245</v>
      </c>
      <c r="H290" t="s">
        <v>46</v>
      </c>
      <c r="I290" t="s">
        <v>33</v>
      </c>
      <c r="J290" t="s">
        <v>169</v>
      </c>
      <c r="K290" t="s">
        <v>170</v>
      </c>
      <c r="L290" t="s">
        <v>171</v>
      </c>
      <c r="M290">
        <v>2</v>
      </c>
      <c r="N290">
        <v>11031</v>
      </c>
      <c r="O290" s="2">
        <v>5</v>
      </c>
      <c r="P290" s="2">
        <v>20958.900000000001</v>
      </c>
      <c r="Q290" s="2">
        <v>16365.14</v>
      </c>
      <c r="R290" s="2">
        <v>4593.76</v>
      </c>
      <c r="S290" t="s">
        <v>62</v>
      </c>
      <c r="T290">
        <v>5</v>
      </c>
      <c r="U290" t="s">
        <v>51</v>
      </c>
      <c r="V290" t="s">
        <v>116</v>
      </c>
      <c r="W290" s="3">
        <f>Table1[[#This Row],[Profit]]/Table1[[#This Row],[Sales]]</f>
        <v>0.21917944166917155</v>
      </c>
      <c r="X290" t="str">
        <f>IF(Table1[[#This Row],[Sales]]&gt;=30000,"High Value",IF(Table1[[#This Row],[Sales]]&gt;=15000,"Medium Value","Low Value"))</f>
        <v>Medium Value</v>
      </c>
      <c r="Y290" t="str">
        <f>IF(Table1[[#This Row],[Quantity]]&gt;=3,"Bulk Order","Regular Order")</f>
        <v>Regular Order</v>
      </c>
      <c r="Z290" t="str">
        <f>TEXT(Table1[[#This Row],[Order Date]],"dddd")</f>
        <v>Tuesday</v>
      </c>
    </row>
    <row r="291" spans="1:26" ht="14.4" x14ac:dyDescent="0.3">
      <c r="A291" t="s">
        <v>845</v>
      </c>
      <c r="B291" t="s">
        <v>846</v>
      </c>
      <c r="C291" s="2">
        <v>46167</v>
      </c>
      <c r="D291" t="s">
        <v>28</v>
      </c>
      <c r="E291" t="s">
        <v>66</v>
      </c>
      <c r="F291" t="s">
        <v>242</v>
      </c>
      <c r="G291" t="s">
        <v>375</v>
      </c>
      <c r="H291" t="s">
        <v>32</v>
      </c>
      <c r="I291" t="s">
        <v>58</v>
      </c>
      <c r="J291" t="s">
        <v>34</v>
      </c>
      <c r="K291" t="s">
        <v>35</v>
      </c>
      <c r="L291" t="s">
        <v>36</v>
      </c>
      <c r="M291">
        <v>5</v>
      </c>
      <c r="N291">
        <v>13937</v>
      </c>
      <c r="O291" s="2">
        <v>0</v>
      </c>
      <c r="P291" s="2">
        <v>69685</v>
      </c>
      <c r="Q291" s="2">
        <v>55853.69</v>
      </c>
      <c r="R291" s="2">
        <v>13831.31</v>
      </c>
      <c r="S291" t="s">
        <v>37</v>
      </c>
      <c r="T291">
        <v>5</v>
      </c>
      <c r="U291" t="s">
        <v>51</v>
      </c>
      <c r="V291" t="s">
        <v>39</v>
      </c>
      <c r="W291" s="3">
        <f>Table1[[#This Row],[Profit]]/Table1[[#This Row],[Sales]]</f>
        <v>0.19848331778718517</v>
      </c>
      <c r="X291" t="str">
        <f>IF(Table1[[#This Row],[Sales]]&gt;=30000,"High Value",IF(Table1[[#This Row],[Sales]]&gt;=15000,"Medium Value","Low Value"))</f>
        <v>High Value</v>
      </c>
      <c r="Y291" t="str">
        <f>IF(Table1[[#This Row],[Quantity]]&gt;=3,"Bulk Order","Regular Order")</f>
        <v>Bulk Order</v>
      </c>
      <c r="Z291" t="str">
        <f>TEXT(Table1[[#This Row],[Order Date]],"dddd")</f>
        <v>Monday</v>
      </c>
    </row>
    <row r="292" spans="1:26" ht="14.4" x14ac:dyDescent="0.3">
      <c r="A292" t="s">
        <v>847</v>
      </c>
      <c r="B292" t="s">
        <v>848</v>
      </c>
      <c r="C292" s="2">
        <v>46201</v>
      </c>
      <c r="D292" t="s">
        <v>42</v>
      </c>
      <c r="E292" t="s">
        <v>29</v>
      </c>
      <c r="F292" t="s">
        <v>754</v>
      </c>
      <c r="G292" t="s">
        <v>168</v>
      </c>
      <c r="H292" t="s">
        <v>32</v>
      </c>
      <c r="I292" t="s">
        <v>33</v>
      </c>
      <c r="J292" t="s">
        <v>47</v>
      </c>
      <c r="K292" t="s">
        <v>69</v>
      </c>
      <c r="L292" t="s">
        <v>70</v>
      </c>
      <c r="M292">
        <v>2</v>
      </c>
      <c r="N292">
        <v>7788</v>
      </c>
      <c r="O292" s="2">
        <v>10</v>
      </c>
      <c r="P292" s="2">
        <v>14018.4</v>
      </c>
      <c r="Q292" s="2">
        <v>11261.54</v>
      </c>
      <c r="R292" s="2">
        <v>2756.86</v>
      </c>
      <c r="S292" t="s">
        <v>37</v>
      </c>
      <c r="T292">
        <v>3</v>
      </c>
      <c r="U292" t="s">
        <v>51</v>
      </c>
      <c r="V292" t="s">
        <v>39</v>
      </c>
      <c r="W292" s="3">
        <f>Table1[[#This Row],[Profit]]/Table1[[#This Row],[Sales]]</f>
        <v>0.1966601038634937</v>
      </c>
      <c r="X292" t="str">
        <f>IF(Table1[[#This Row],[Sales]]&gt;=30000,"High Value",IF(Table1[[#This Row],[Sales]]&gt;=15000,"Medium Value","Low Value"))</f>
        <v>Low Value</v>
      </c>
      <c r="Y292" t="str">
        <f>IF(Table1[[#This Row],[Quantity]]&gt;=3,"Bulk Order","Regular Order")</f>
        <v>Regular Order</v>
      </c>
      <c r="Z292" t="str">
        <f>TEXT(Table1[[#This Row],[Order Date]],"dddd")</f>
        <v>Sunday</v>
      </c>
    </row>
    <row r="293" spans="1:26" ht="14.4" x14ac:dyDescent="0.3">
      <c r="A293" t="s">
        <v>849</v>
      </c>
      <c r="B293" t="s">
        <v>850</v>
      </c>
      <c r="C293" s="2">
        <v>46200</v>
      </c>
      <c r="D293" t="s">
        <v>42</v>
      </c>
      <c r="E293" t="s">
        <v>196</v>
      </c>
      <c r="F293" t="s">
        <v>694</v>
      </c>
      <c r="G293" t="s">
        <v>99</v>
      </c>
      <c r="H293" t="s">
        <v>46</v>
      </c>
      <c r="I293" t="s">
        <v>33</v>
      </c>
      <c r="J293" t="s">
        <v>59</v>
      </c>
      <c r="K293" t="s">
        <v>95</v>
      </c>
      <c r="L293" t="s">
        <v>36</v>
      </c>
      <c r="M293">
        <v>2</v>
      </c>
      <c r="N293">
        <v>15611</v>
      </c>
      <c r="O293" s="2">
        <v>0</v>
      </c>
      <c r="P293" s="2">
        <v>31222</v>
      </c>
      <c r="Q293" s="2">
        <v>24512.49</v>
      </c>
      <c r="R293" s="2">
        <v>6709.51</v>
      </c>
      <c r="S293" t="s">
        <v>37</v>
      </c>
      <c r="T293">
        <v>3</v>
      </c>
      <c r="U293" t="s">
        <v>90</v>
      </c>
      <c r="V293" t="s">
        <v>86</v>
      </c>
      <c r="W293" s="3">
        <f>Table1[[#This Row],[Profit]]/Table1[[#This Row],[Sales]]</f>
        <v>0.21489686759336366</v>
      </c>
      <c r="X293" t="str">
        <f>IF(Table1[[#This Row],[Sales]]&gt;=30000,"High Value",IF(Table1[[#This Row],[Sales]]&gt;=15000,"Medium Value","Low Value"))</f>
        <v>High Value</v>
      </c>
      <c r="Y293" t="str">
        <f>IF(Table1[[#This Row],[Quantity]]&gt;=3,"Bulk Order","Regular Order")</f>
        <v>Regular Order</v>
      </c>
      <c r="Z293" t="str">
        <f>TEXT(Table1[[#This Row],[Order Date]],"dddd")</f>
        <v>Saturday</v>
      </c>
    </row>
    <row r="294" spans="1:26" ht="14.4" x14ac:dyDescent="0.3">
      <c r="A294" t="s">
        <v>851</v>
      </c>
      <c r="B294" t="s">
        <v>852</v>
      </c>
      <c r="C294" s="2">
        <v>46169</v>
      </c>
      <c r="D294" t="s">
        <v>28</v>
      </c>
      <c r="E294" t="s">
        <v>133</v>
      </c>
      <c r="F294" t="s">
        <v>617</v>
      </c>
      <c r="G294" t="s">
        <v>138</v>
      </c>
      <c r="H294" t="s">
        <v>32</v>
      </c>
      <c r="I294" t="s">
        <v>58</v>
      </c>
      <c r="J294" t="s">
        <v>59</v>
      </c>
      <c r="K294" t="s">
        <v>60</v>
      </c>
      <c r="L294" t="s">
        <v>61</v>
      </c>
      <c r="M294">
        <v>5</v>
      </c>
      <c r="N294">
        <v>16579</v>
      </c>
      <c r="O294" s="2">
        <v>5</v>
      </c>
      <c r="P294" s="2">
        <v>78750.25</v>
      </c>
      <c r="Q294" s="2">
        <v>62901.49</v>
      </c>
      <c r="R294" s="2">
        <v>15848.76</v>
      </c>
      <c r="S294" t="s">
        <v>50</v>
      </c>
      <c r="T294">
        <v>5</v>
      </c>
      <c r="U294" t="s">
        <v>51</v>
      </c>
      <c r="V294" t="s">
        <v>75</v>
      </c>
      <c r="W294" s="3">
        <f>Table1[[#This Row],[Profit]]/Table1[[#This Row],[Sales]]</f>
        <v>0.20125345633823385</v>
      </c>
      <c r="X294" t="str">
        <f>IF(Table1[[#This Row],[Sales]]&gt;=30000,"High Value",IF(Table1[[#This Row],[Sales]]&gt;=15000,"Medium Value","Low Value"))</f>
        <v>High Value</v>
      </c>
      <c r="Y294" t="str">
        <f>IF(Table1[[#This Row],[Quantity]]&gt;=3,"Bulk Order","Regular Order")</f>
        <v>Bulk Order</v>
      </c>
      <c r="Z294" t="str">
        <f>TEXT(Table1[[#This Row],[Order Date]],"dddd")</f>
        <v>Wednesday</v>
      </c>
    </row>
    <row r="295" spans="1:26" ht="14.4" x14ac:dyDescent="0.3">
      <c r="A295" t="s">
        <v>853</v>
      </c>
      <c r="B295" t="s">
        <v>854</v>
      </c>
      <c r="C295" s="2">
        <v>46152</v>
      </c>
      <c r="D295" t="s">
        <v>28</v>
      </c>
      <c r="E295" t="s">
        <v>133</v>
      </c>
      <c r="F295" t="s">
        <v>420</v>
      </c>
      <c r="G295" t="s">
        <v>134</v>
      </c>
      <c r="H295" t="s">
        <v>46</v>
      </c>
      <c r="I295" t="s">
        <v>33</v>
      </c>
      <c r="J295" t="s">
        <v>149</v>
      </c>
      <c r="K295" t="s">
        <v>150</v>
      </c>
      <c r="L295" t="s">
        <v>151</v>
      </c>
      <c r="M295">
        <v>2</v>
      </c>
      <c r="N295">
        <v>3345</v>
      </c>
      <c r="O295" s="2">
        <v>0</v>
      </c>
      <c r="P295" s="2">
        <v>6690</v>
      </c>
      <c r="Q295" s="2">
        <v>4902.74</v>
      </c>
      <c r="R295" s="2">
        <v>1787.26</v>
      </c>
      <c r="S295" t="s">
        <v>37</v>
      </c>
      <c r="T295">
        <v>5</v>
      </c>
      <c r="U295" t="s">
        <v>51</v>
      </c>
      <c r="V295" t="s">
        <v>75</v>
      </c>
      <c r="W295" s="3">
        <f>Table1[[#This Row],[Profit]]/Table1[[#This Row],[Sales]]</f>
        <v>0.26715396113602391</v>
      </c>
      <c r="X295" t="str">
        <f>IF(Table1[[#This Row],[Sales]]&gt;=30000,"High Value",IF(Table1[[#This Row],[Sales]]&gt;=15000,"Medium Value","Low Value"))</f>
        <v>Low Value</v>
      </c>
      <c r="Y295" t="str">
        <f>IF(Table1[[#This Row],[Quantity]]&gt;=3,"Bulk Order","Regular Order")</f>
        <v>Regular Order</v>
      </c>
      <c r="Z295" t="str">
        <f>TEXT(Table1[[#This Row],[Order Date]],"dddd")</f>
        <v>Sunday</v>
      </c>
    </row>
    <row r="296" spans="1:26" ht="14.4" x14ac:dyDescent="0.3">
      <c r="A296" t="s">
        <v>855</v>
      </c>
      <c r="B296" t="s">
        <v>856</v>
      </c>
      <c r="C296" s="2">
        <v>46175</v>
      </c>
      <c r="D296" t="s">
        <v>42</v>
      </c>
      <c r="E296" t="s">
        <v>78</v>
      </c>
      <c r="F296" t="s">
        <v>282</v>
      </c>
      <c r="G296" t="s">
        <v>115</v>
      </c>
      <c r="H296" t="s">
        <v>32</v>
      </c>
      <c r="I296" t="s">
        <v>33</v>
      </c>
      <c r="J296" t="s">
        <v>47</v>
      </c>
      <c r="K296" t="s">
        <v>48</v>
      </c>
      <c r="L296" t="s">
        <v>49</v>
      </c>
      <c r="M296">
        <v>1</v>
      </c>
      <c r="N296">
        <v>7767</v>
      </c>
      <c r="O296" s="2">
        <v>0</v>
      </c>
      <c r="P296" s="2">
        <v>7767</v>
      </c>
      <c r="Q296" s="2">
        <v>6359.56</v>
      </c>
      <c r="R296" s="2">
        <v>1407.44</v>
      </c>
      <c r="S296" t="s">
        <v>81</v>
      </c>
      <c r="T296">
        <v>4</v>
      </c>
      <c r="U296" t="s">
        <v>90</v>
      </c>
      <c r="V296" t="s">
        <v>63</v>
      </c>
      <c r="W296" s="3">
        <f>Table1[[#This Row],[Profit]]/Table1[[#This Row],[Sales]]</f>
        <v>0.18120767349040814</v>
      </c>
      <c r="X296" t="str">
        <f>IF(Table1[[#This Row],[Sales]]&gt;=30000,"High Value",IF(Table1[[#This Row],[Sales]]&gt;=15000,"Medium Value","Low Value"))</f>
        <v>Low Value</v>
      </c>
      <c r="Y296" t="str">
        <f>IF(Table1[[#This Row],[Quantity]]&gt;=3,"Bulk Order","Regular Order")</f>
        <v>Regular Order</v>
      </c>
      <c r="Z296" t="str">
        <f>TEXT(Table1[[#This Row],[Order Date]],"dddd")</f>
        <v>Tuesday</v>
      </c>
    </row>
    <row r="297" spans="1:26" ht="14.4" x14ac:dyDescent="0.3">
      <c r="A297" t="s">
        <v>857</v>
      </c>
      <c r="B297" t="s">
        <v>858</v>
      </c>
      <c r="C297" s="2">
        <v>46155</v>
      </c>
      <c r="D297" t="s">
        <v>28</v>
      </c>
      <c r="E297" t="s">
        <v>133</v>
      </c>
      <c r="F297" t="s">
        <v>472</v>
      </c>
      <c r="G297" t="s">
        <v>322</v>
      </c>
      <c r="H297" t="s">
        <v>32</v>
      </c>
      <c r="I297" t="s">
        <v>33</v>
      </c>
      <c r="J297" t="s">
        <v>169</v>
      </c>
      <c r="K297" t="s">
        <v>170</v>
      </c>
      <c r="L297" t="s">
        <v>171</v>
      </c>
      <c r="M297">
        <v>2</v>
      </c>
      <c r="N297">
        <v>10274</v>
      </c>
      <c r="O297" s="2">
        <v>5</v>
      </c>
      <c r="P297" s="2">
        <v>19520.599999999999</v>
      </c>
      <c r="Q297" s="2">
        <v>15802</v>
      </c>
      <c r="R297" s="2">
        <v>3718.6</v>
      </c>
      <c r="S297" t="s">
        <v>50</v>
      </c>
      <c r="T297">
        <v>5</v>
      </c>
      <c r="U297" t="s">
        <v>38</v>
      </c>
      <c r="V297" t="s">
        <v>75</v>
      </c>
      <c r="W297" s="3">
        <f>Table1[[#This Row],[Profit]]/Table1[[#This Row],[Sales]]</f>
        <v>0.19049619376453594</v>
      </c>
      <c r="X297" t="str">
        <f>IF(Table1[[#This Row],[Sales]]&gt;=30000,"High Value",IF(Table1[[#This Row],[Sales]]&gt;=15000,"Medium Value","Low Value"))</f>
        <v>Medium Value</v>
      </c>
      <c r="Y297" t="str">
        <f>IF(Table1[[#This Row],[Quantity]]&gt;=3,"Bulk Order","Regular Order")</f>
        <v>Regular Order</v>
      </c>
      <c r="Z297" t="str">
        <f>TEXT(Table1[[#This Row],[Order Date]],"dddd")</f>
        <v>Wednesday</v>
      </c>
    </row>
    <row r="298" spans="1:26" ht="14.4" x14ac:dyDescent="0.3">
      <c r="A298" t="s">
        <v>859</v>
      </c>
      <c r="B298" t="s">
        <v>860</v>
      </c>
      <c r="C298" s="2">
        <v>46145</v>
      </c>
      <c r="D298" t="s">
        <v>28</v>
      </c>
      <c r="E298" t="s">
        <v>29</v>
      </c>
      <c r="F298" t="s">
        <v>587</v>
      </c>
      <c r="G298" t="s">
        <v>311</v>
      </c>
      <c r="H298" t="s">
        <v>46</v>
      </c>
      <c r="I298" t="s">
        <v>58</v>
      </c>
      <c r="J298" t="s">
        <v>34</v>
      </c>
      <c r="K298" t="s">
        <v>35</v>
      </c>
      <c r="L298" t="s">
        <v>36</v>
      </c>
      <c r="M298">
        <v>3</v>
      </c>
      <c r="N298">
        <v>11866</v>
      </c>
      <c r="O298" s="2">
        <v>5</v>
      </c>
      <c r="P298" s="2">
        <v>33818.1</v>
      </c>
      <c r="Q298" s="2">
        <v>27026.97</v>
      </c>
      <c r="R298" s="2">
        <v>6791.13</v>
      </c>
      <c r="S298" t="s">
        <v>50</v>
      </c>
      <c r="T298">
        <v>4</v>
      </c>
      <c r="U298" t="s">
        <v>38</v>
      </c>
      <c r="V298" t="s">
        <v>75</v>
      </c>
      <c r="W298" s="3">
        <f>Table1[[#This Row],[Profit]]/Table1[[#This Row],[Sales]]</f>
        <v>0.20081346971000738</v>
      </c>
      <c r="X298" t="str">
        <f>IF(Table1[[#This Row],[Sales]]&gt;=30000,"High Value",IF(Table1[[#This Row],[Sales]]&gt;=15000,"Medium Value","Low Value"))</f>
        <v>High Value</v>
      </c>
      <c r="Y298" t="str">
        <f>IF(Table1[[#This Row],[Quantity]]&gt;=3,"Bulk Order","Regular Order")</f>
        <v>Bulk Order</v>
      </c>
      <c r="Z298" t="str">
        <f>TEXT(Table1[[#This Row],[Order Date]],"dddd")</f>
        <v>Sunday</v>
      </c>
    </row>
    <row r="299" spans="1:26" ht="14.4" x14ac:dyDescent="0.3">
      <c r="A299" t="s">
        <v>861</v>
      </c>
      <c r="B299" t="s">
        <v>862</v>
      </c>
      <c r="C299" s="2">
        <v>46154</v>
      </c>
      <c r="D299" t="s">
        <v>28</v>
      </c>
      <c r="E299" t="s">
        <v>133</v>
      </c>
      <c r="F299" t="s">
        <v>98</v>
      </c>
      <c r="G299" t="s">
        <v>286</v>
      </c>
      <c r="H299" t="s">
        <v>46</v>
      </c>
      <c r="I299" t="s">
        <v>33</v>
      </c>
      <c r="J299" t="s">
        <v>59</v>
      </c>
      <c r="K299" t="s">
        <v>95</v>
      </c>
      <c r="L299" t="s">
        <v>36</v>
      </c>
      <c r="M299">
        <v>1</v>
      </c>
      <c r="N299">
        <v>14919</v>
      </c>
      <c r="O299" s="2">
        <v>5</v>
      </c>
      <c r="P299" s="2">
        <v>14173.05</v>
      </c>
      <c r="Q299" s="2">
        <v>11311.85</v>
      </c>
      <c r="R299" s="2">
        <v>2861.2</v>
      </c>
      <c r="S299" t="s">
        <v>37</v>
      </c>
      <c r="T299">
        <v>5</v>
      </c>
      <c r="U299" t="s">
        <v>51</v>
      </c>
      <c r="V299" t="s">
        <v>86</v>
      </c>
      <c r="W299" s="3">
        <f>Table1[[#This Row],[Profit]]/Table1[[#This Row],[Sales]]</f>
        <v>0.2018760958297614</v>
      </c>
      <c r="X299" t="str">
        <f>IF(Table1[[#This Row],[Sales]]&gt;=30000,"High Value",IF(Table1[[#This Row],[Sales]]&gt;=15000,"Medium Value","Low Value"))</f>
        <v>Low Value</v>
      </c>
      <c r="Y299" t="str">
        <f>IF(Table1[[#This Row],[Quantity]]&gt;=3,"Bulk Order","Regular Order")</f>
        <v>Regular Order</v>
      </c>
      <c r="Z299" t="str">
        <f>TEXT(Table1[[#This Row],[Order Date]],"dddd")</f>
        <v>Tuesday</v>
      </c>
    </row>
    <row r="300" spans="1:26" ht="14.4" x14ac:dyDescent="0.3">
      <c r="A300" t="s">
        <v>863</v>
      </c>
      <c r="B300" t="s">
        <v>864</v>
      </c>
      <c r="C300" s="2">
        <v>46146</v>
      </c>
      <c r="D300" t="s">
        <v>28</v>
      </c>
      <c r="E300" t="s">
        <v>78</v>
      </c>
      <c r="F300" t="s">
        <v>426</v>
      </c>
      <c r="G300" t="s">
        <v>249</v>
      </c>
      <c r="H300" t="s">
        <v>32</v>
      </c>
      <c r="I300" t="s">
        <v>33</v>
      </c>
      <c r="J300" t="s">
        <v>59</v>
      </c>
      <c r="K300" t="s">
        <v>60</v>
      </c>
      <c r="L300" t="s">
        <v>61</v>
      </c>
      <c r="M300">
        <v>2</v>
      </c>
      <c r="N300">
        <v>17539</v>
      </c>
      <c r="O300" s="2">
        <v>15</v>
      </c>
      <c r="P300" s="2">
        <v>29816.3</v>
      </c>
      <c r="Q300" s="2">
        <v>23691.06</v>
      </c>
      <c r="R300" s="2">
        <v>6125.24</v>
      </c>
      <c r="S300" t="s">
        <v>81</v>
      </c>
      <c r="T300">
        <v>5</v>
      </c>
      <c r="U300" t="s">
        <v>51</v>
      </c>
      <c r="V300" t="s">
        <v>63</v>
      </c>
      <c r="W300" s="3">
        <f>Table1[[#This Row],[Profit]]/Table1[[#This Row],[Sales]]</f>
        <v>0.20543259894755553</v>
      </c>
      <c r="X300" t="str">
        <f>IF(Table1[[#This Row],[Sales]]&gt;=30000,"High Value",IF(Table1[[#This Row],[Sales]]&gt;=15000,"Medium Value","Low Value"))</f>
        <v>Medium Value</v>
      </c>
      <c r="Y300" t="str">
        <f>IF(Table1[[#This Row],[Quantity]]&gt;=3,"Bulk Order","Regular Order")</f>
        <v>Regular Order</v>
      </c>
      <c r="Z300" t="str">
        <f>TEXT(Table1[[#This Row],[Order Date]],"dddd")</f>
        <v>Monday</v>
      </c>
    </row>
    <row r="301" spans="1:26" ht="14.4" x14ac:dyDescent="0.3">
      <c r="A301" t="s">
        <v>865</v>
      </c>
      <c r="B301" t="s">
        <v>866</v>
      </c>
      <c r="C301" s="2">
        <v>46144</v>
      </c>
      <c r="D301" t="s">
        <v>28</v>
      </c>
      <c r="E301" t="s">
        <v>133</v>
      </c>
      <c r="F301" t="s">
        <v>325</v>
      </c>
      <c r="G301" t="s">
        <v>74</v>
      </c>
      <c r="H301" t="s">
        <v>46</v>
      </c>
      <c r="I301" t="s">
        <v>33</v>
      </c>
      <c r="J301" t="s">
        <v>169</v>
      </c>
      <c r="K301" t="s">
        <v>170</v>
      </c>
      <c r="L301" t="s">
        <v>171</v>
      </c>
      <c r="M301">
        <v>2</v>
      </c>
      <c r="N301">
        <v>10512</v>
      </c>
      <c r="O301" s="2">
        <v>5</v>
      </c>
      <c r="P301" s="2">
        <v>19972.8</v>
      </c>
      <c r="Q301" s="2">
        <v>15909.73</v>
      </c>
      <c r="R301" s="2">
        <v>4063.07</v>
      </c>
      <c r="S301" t="s">
        <v>37</v>
      </c>
      <c r="T301">
        <v>5</v>
      </c>
      <c r="U301" t="s">
        <v>51</v>
      </c>
      <c r="V301" t="s">
        <v>116</v>
      </c>
      <c r="W301" s="3">
        <f>Table1[[#This Row],[Profit]]/Table1[[#This Row],[Sales]]</f>
        <v>0.20343016502443326</v>
      </c>
      <c r="X301" t="str">
        <f>IF(Table1[[#This Row],[Sales]]&gt;=30000,"High Value",IF(Table1[[#This Row],[Sales]]&gt;=15000,"Medium Value","Low Value"))</f>
        <v>Medium Value</v>
      </c>
      <c r="Y301" t="str">
        <f>IF(Table1[[#This Row],[Quantity]]&gt;=3,"Bulk Order","Regular Order")</f>
        <v>Regular Order</v>
      </c>
      <c r="Z301" t="str">
        <f>TEXT(Table1[[#This Row],[Order Date]],"dddd")</f>
        <v>Saturday</v>
      </c>
    </row>
    <row r="302" spans="1:26" ht="14.4" x14ac:dyDescent="0.3">
      <c r="A302" t="s">
        <v>867</v>
      </c>
      <c r="B302" t="s">
        <v>868</v>
      </c>
      <c r="C302" s="2">
        <v>46156</v>
      </c>
      <c r="D302" t="s">
        <v>28</v>
      </c>
      <c r="E302" t="s">
        <v>133</v>
      </c>
      <c r="F302" t="s">
        <v>269</v>
      </c>
      <c r="G302" t="s">
        <v>148</v>
      </c>
      <c r="H302" t="s">
        <v>32</v>
      </c>
      <c r="I302" t="s">
        <v>58</v>
      </c>
      <c r="J302" t="s">
        <v>47</v>
      </c>
      <c r="K302" t="s">
        <v>48</v>
      </c>
      <c r="L302" t="s">
        <v>49</v>
      </c>
      <c r="M302">
        <v>5</v>
      </c>
      <c r="N302">
        <v>7749</v>
      </c>
      <c r="O302" s="2">
        <v>10</v>
      </c>
      <c r="P302" s="2">
        <v>34870.5</v>
      </c>
      <c r="Q302" s="2">
        <v>28439.9</v>
      </c>
      <c r="R302" s="2">
        <v>6430.6</v>
      </c>
      <c r="S302" t="s">
        <v>81</v>
      </c>
      <c r="T302">
        <v>5</v>
      </c>
      <c r="U302" t="s">
        <v>51</v>
      </c>
      <c r="V302" t="s">
        <v>39</v>
      </c>
      <c r="W302" s="3">
        <f>Table1[[#This Row],[Profit]]/Table1[[#This Row],[Sales]]</f>
        <v>0.18441375948151018</v>
      </c>
      <c r="X302" t="str">
        <f>IF(Table1[[#This Row],[Sales]]&gt;=30000,"High Value",IF(Table1[[#This Row],[Sales]]&gt;=15000,"Medium Value","Low Value"))</f>
        <v>High Value</v>
      </c>
      <c r="Y302" t="str">
        <f>IF(Table1[[#This Row],[Quantity]]&gt;=3,"Bulk Order","Regular Order")</f>
        <v>Bulk Order</v>
      </c>
      <c r="Z302" t="str">
        <f>TEXT(Table1[[#This Row],[Order Date]],"dddd")</f>
        <v>Thursday</v>
      </c>
    </row>
    <row r="303" spans="1:26" ht="14.4" x14ac:dyDescent="0.3">
      <c r="A303" t="s">
        <v>869</v>
      </c>
      <c r="B303" t="s">
        <v>870</v>
      </c>
      <c r="C303" s="2">
        <v>46172</v>
      </c>
      <c r="D303" t="s">
        <v>28</v>
      </c>
      <c r="E303" t="s">
        <v>55</v>
      </c>
      <c r="F303" t="s">
        <v>84</v>
      </c>
      <c r="G303" t="s">
        <v>80</v>
      </c>
      <c r="H303" t="s">
        <v>46</v>
      </c>
      <c r="I303" t="s">
        <v>33</v>
      </c>
      <c r="J303" t="s">
        <v>47</v>
      </c>
      <c r="K303" t="s">
        <v>48</v>
      </c>
      <c r="L303" t="s">
        <v>49</v>
      </c>
      <c r="M303">
        <v>2</v>
      </c>
      <c r="N303">
        <v>7027</v>
      </c>
      <c r="O303" s="2">
        <v>0</v>
      </c>
      <c r="P303" s="2">
        <v>14054</v>
      </c>
      <c r="Q303" s="2">
        <v>11419.11</v>
      </c>
      <c r="R303" s="2">
        <v>2634.89</v>
      </c>
      <c r="S303" t="s">
        <v>37</v>
      </c>
      <c r="T303">
        <v>5</v>
      </c>
      <c r="U303" t="s">
        <v>38</v>
      </c>
      <c r="V303" t="s">
        <v>86</v>
      </c>
      <c r="W303" s="3">
        <f>Table1[[#This Row],[Profit]]/Table1[[#This Row],[Sales]]</f>
        <v>0.18748327878184146</v>
      </c>
      <c r="X303" t="str">
        <f>IF(Table1[[#This Row],[Sales]]&gt;=30000,"High Value",IF(Table1[[#This Row],[Sales]]&gt;=15000,"Medium Value","Low Value"))</f>
        <v>Low Value</v>
      </c>
      <c r="Y303" t="str">
        <f>IF(Table1[[#This Row],[Quantity]]&gt;=3,"Bulk Order","Regular Order")</f>
        <v>Regular Order</v>
      </c>
      <c r="Z303" t="str">
        <f>TEXT(Table1[[#This Row],[Order Date]],"dddd")</f>
        <v>Saturday</v>
      </c>
    </row>
    <row r="304" spans="1:26" ht="14.4" x14ac:dyDescent="0.3">
      <c r="A304" t="s">
        <v>871</v>
      </c>
      <c r="B304" t="s">
        <v>872</v>
      </c>
      <c r="C304" s="2">
        <v>46147</v>
      </c>
      <c r="D304" t="s">
        <v>28</v>
      </c>
      <c r="E304" t="s">
        <v>29</v>
      </c>
      <c r="F304" t="s">
        <v>873</v>
      </c>
      <c r="G304" t="s">
        <v>175</v>
      </c>
      <c r="H304" t="s">
        <v>32</v>
      </c>
      <c r="I304" t="s">
        <v>33</v>
      </c>
      <c r="J304" t="s">
        <v>47</v>
      </c>
      <c r="K304" t="s">
        <v>48</v>
      </c>
      <c r="L304" t="s">
        <v>49</v>
      </c>
      <c r="M304">
        <v>2</v>
      </c>
      <c r="N304">
        <v>8935</v>
      </c>
      <c r="O304" s="2">
        <v>10</v>
      </c>
      <c r="P304" s="2">
        <v>16083</v>
      </c>
      <c r="Q304" s="2">
        <v>13021.21</v>
      </c>
      <c r="R304" s="2">
        <v>3061.79</v>
      </c>
      <c r="S304" t="s">
        <v>37</v>
      </c>
      <c r="T304">
        <v>5</v>
      </c>
      <c r="U304" t="s">
        <v>51</v>
      </c>
      <c r="V304" t="s">
        <v>116</v>
      </c>
      <c r="W304" s="3">
        <f>Table1[[#This Row],[Profit]]/Table1[[#This Row],[Sales]]</f>
        <v>0.19037430827581919</v>
      </c>
      <c r="X304" t="str">
        <f>IF(Table1[[#This Row],[Sales]]&gt;=30000,"High Value",IF(Table1[[#This Row],[Sales]]&gt;=15000,"Medium Value","Low Value"))</f>
        <v>Medium Value</v>
      </c>
      <c r="Y304" t="str">
        <f>IF(Table1[[#This Row],[Quantity]]&gt;=3,"Bulk Order","Regular Order")</f>
        <v>Regular Order</v>
      </c>
      <c r="Z304" t="str">
        <f>TEXT(Table1[[#This Row],[Order Date]],"dddd")</f>
        <v>Tuesday</v>
      </c>
    </row>
    <row r="305" spans="1:26" ht="14.4" x14ac:dyDescent="0.3">
      <c r="A305" t="s">
        <v>874</v>
      </c>
      <c r="B305" t="s">
        <v>875</v>
      </c>
      <c r="C305" s="2">
        <v>46144</v>
      </c>
      <c r="D305" t="s">
        <v>28</v>
      </c>
      <c r="E305" t="s">
        <v>55</v>
      </c>
      <c r="F305" t="s">
        <v>798</v>
      </c>
      <c r="G305" t="s">
        <v>225</v>
      </c>
      <c r="H305" t="s">
        <v>32</v>
      </c>
      <c r="I305" t="s">
        <v>58</v>
      </c>
      <c r="J305" t="s">
        <v>47</v>
      </c>
      <c r="K305" t="s">
        <v>48</v>
      </c>
      <c r="L305" t="s">
        <v>49</v>
      </c>
      <c r="M305">
        <v>5</v>
      </c>
      <c r="N305">
        <v>8949</v>
      </c>
      <c r="O305" s="2">
        <v>10</v>
      </c>
      <c r="P305" s="2">
        <v>40270.5</v>
      </c>
      <c r="Q305" s="2">
        <v>31544.9</v>
      </c>
      <c r="R305" s="2">
        <v>8725.6</v>
      </c>
      <c r="S305" t="s">
        <v>81</v>
      </c>
      <c r="T305">
        <v>4</v>
      </c>
      <c r="U305" t="s">
        <v>51</v>
      </c>
      <c r="V305" t="s">
        <v>63</v>
      </c>
      <c r="W305" s="3">
        <f>Table1[[#This Row],[Profit]]/Table1[[#This Row],[Sales]]</f>
        <v>0.21667473709042601</v>
      </c>
      <c r="X305" t="str">
        <f>IF(Table1[[#This Row],[Sales]]&gt;=30000,"High Value",IF(Table1[[#This Row],[Sales]]&gt;=15000,"Medium Value","Low Value"))</f>
        <v>High Value</v>
      </c>
      <c r="Y305" t="str">
        <f>IF(Table1[[#This Row],[Quantity]]&gt;=3,"Bulk Order","Regular Order")</f>
        <v>Bulk Order</v>
      </c>
      <c r="Z305" t="str">
        <f>TEXT(Table1[[#This Row],[Order Date]],"dddd")</f>
        <v>Saturday</v>
      </c>
    </row>
    <row r="306" spans="1:26" ht="14.4" x14ac:dyDescent="0.3">
      <c r="A306" t="s">
        <v>876</v>
      </c>
      <c r="B306" t="s">
        <v>877</v>
      </c>
      <c r="C306" s="2">
        <v>46143</v>
      </c>
      <c r="D306" t="s">
        <v>28</v>
      </c>
      <c r="E306" t="s">
        <v>78</v>
      </c>
      <c r="F306" t="s">
        <v>232</v>
      </c>
      <c r="G306" t="s">
        <v>68</v>
      </c>
      <c r="H306" t="s">
        <v>32</v>
      </c>
      <c r="I306" t="s">
        <v>33</v>
      </c>
      <c r="J306" t="s">
        <v>47</v>
      </c>
      <c r="K306" t="s">
        <v>48</v>
      </c>
      <c r="L306" t="s">
        <v>49</v>
      </c>
      <c r="M306">
        <v>1</v>
      </c>
      <c r="N306">
        <v>7215</v>
      </c>
      <c r="O306" s="2">
        <v>5</v>
      </c>
      <c r="P306" s="2">
        <v>6854.25</v>
      </c>
      <c r="Q306" s="2">
        <v>5596.08</v>
      </c>
      <c r="R306" s="2">
        <v>1258.17</v>
      </c>
      <c r="S306" t="s">
        <v>81</v>
      </c>
      <c r="T306">
        <v>4</v>
      </c>
      <c r="U306" t="s">
        <v>51</v>
      </c>
      <c r="V306" t="s">
        <v>75</v>
      </c>
      <c r="W306" s="3">
        <f>Table1[[#This Row],[Profit]]/Table1[[#This Row],[Sales]]</f>
        <v>0.1835605646131962</v>
      </c>
      <c r="X306" t="str">
        <f>IF(Table1[[#This Row],[Sales]]&gt;=30000,"High Value",IF(Table1[[#This Row],[Sales]]&gt;=15000,"Medium Value","Low Value"))</f>
        <v>Low Value</v>
      </c>
      <c r="Y306" t="str">
        <f>IF(Table1[[#This Row],[Quantity]]&gt;=3,"Bulk Order","Regular Order")</f>
        <v>Regular Order</v>
      </c>
      <c r="Z306" t="str">
        <f>TEXT(Table1[[#This Row],[Order Date]],"dddd")</f>
        <v>Friday</v>
      </c>
    </row>
    <row r="307" spans="1:26" ht="14.4" x14ac:dyDescent="0.3">
      <c r="A307" t="s">
        <v>878</v>
      </c>
      <c r="B307" t="s">
        <v>879</v>
      </c>
      <c r="C307" s="2">
        <v>46200</v>
      </c>
      <c r="D307" t="s">
        <v>42</v>
      </c>
      <c r="E307" t="s">
        <v>43</v>
      </c>
      <c r="F307" t="s">
        <v>509</v>
      </c>
      <c r="G307" t="s">
        <v>141</v>
      </c>
      <c r="H307" t="s">
        <v>46</v>
      </c>
      <c r="I307" t="s">
        <v>33</v>
      </c>
      <c r="J307" t="s">
        <v>59</v>
      </c>
      <c r="K307" t="s">
        <v>60</v>
      </c>
      <c r="L307" t="s">
        <v>61</v>
      </c>
      <c r="M307">
        <v>2</v>
      </c>
      <c r="N307">
        <v>16919</v>
      </c>
      <c r="O307" s="2">
        <v>10</v>
      </c>
      <c r="P307" s="2">
        <v>30454.2</v>
      </c>
      <c r="Q307" s="2">
        <v>24029.47</v>
      </c>
      <c r="R307" s="2">
        <v>6424.73</v>
      </c>
      <c r="S307" t="s">
        <v>37</v>
      </c>
      <c r="T307">
        <v>5</v>
      </c>
      <c r="U307" t="s">
        <v>51</v>
      </c>
      <c r="V307" t="s">
        <v>86</v>
      </c>
      <c r="W307" s="3">
        <f>Table1[[#This Row],[Profit]]/Table1[[#This Row],[Sales]]</f>
        <v>0.21096367660289875</v>
      </c>
      <c r="X307" t="str">
        <f>IF(Table1[[#This Row],[Sales]]&gt;=30000,"High Value",IF(Table1[[#This Row],[Sales]]&gt;=15000,"Medium Value","Low Value"))</f>
        <v>High Value</v>
      </c>
      <c r="Y307" t="str">
        <f>IF(Table1[[#This Row],[Quantity]]&gt;=3,"Bulk Order","Regular Order")</f>
        <v>Regular Order</v>
      </c>
      <c r="Z307" t="str">
        <f>TEXT(Table1[[#This Row],[Order Date]],"dddd")</f>
        <v>Saturday</v>
      </c>
    </row>
    <row r="308" spans="1:26" ht="14.4" x14ac:dyDescent="0.3">
      <c r="A308" t="s">
        <v>880</v>
      </c>
      <c r="B308" t="s">
        <v>881</v>
      </c>
      <c r="C308" s="2">
        <v>46153</v>
      </c>
      <c r="D308" t="s">
        <v>28</v>
      </c>
      <c r="E308" t="s">
        <v>133</v>
      </c>
      <c r="F308" t="s">
        <v>178</v>
      </c>
      <c r="G308" t="s">
        <v>175</v>
      </c>
      <c r="H308" t="s">
        <v>32</v>
      </c>
      <c r="I308" t="s">
        <v>33</v>
      </c>
      <c r="J308" t="s">
        <v>47</v>
      </c>
      <c r="K308" t="s">
        <v>69</v>
      </c>
      <c r="L308" t="s">
        <v>70</v>
      </c>
      <c r="M308">
        <v>2</v>
      </c>
      <c r="N308">
        <v>7517</v>
      </c>
      <c r="O308" s="2">
        <v>15</v>
      </c>
      <c r="P308" s="2">
        <v>12778.9</v>
      </c>
      <c r="Q308" s="2">
        <v>10091.209999999999</v>
      </c>
      <c r="R308" s="2">
        <v>2687.69</v>
      </c>
      <c r="S308" t="s">
        <v>81</v>
      </c>
      <c r="T308">
        <v>4</v>
      </c>
      <c r="U308" t="s">
        <v>51</v>
      </c>
      <c r="V308" t="s">
        <v>86</v>
      </c>
      <c r="W308" s="3">
        <f>Table1[[#This Row],[Profit]]/Table1[[#This Row],[Sales]]</f>
        <v>0.21032248472090714</v>
      </c>
      <c r="X308" t="str">
        <f>IF(Table1[[#This Row],[Sales]]&gt;=30000,"High Value",IF(Table1[[#This Row],[Sales]]&gt;=15000,"Medium Value","Low Value"))</f>
        <v>Low Value</v>
      </c>
      <c r="Y308" t="str">
        <f>IF(Table1[[#This Row],[Quantity]]&gt;=3,"Bulk Order","Regular Order")</f>
        <v>Regular Order</v>
      </c>
      <c r="Z308" t="str">
        <f>TEXT(Table1[[#This Row],[Order Date]],"dddd")</f>
        <v>Monday</v>
      </c>
    </row>
    <row r="309" spans="1:26" ht="14.4" x14ac:dyDescent="0.3">
      <c r="A309" t="s">
        <v>882</v>
      </c>
      <c r="B309" t="s">
        <v>883</v>
      </c>
      <c r="C309" s="2">
        <v>46159</v>
      </c>
      <c r="D309" t="s">
        <v>28</v>
      </c>
      <c r="E309" t="s">
        <v>29</v>
      </c>
      <c r="F309" t="s">
        <v>333</v>
      </c>
      <c r="G309" t="s">
        <v>45</v>
      </c>
      <c r="H309" t="s">
        <v>46</v>
      </c>
      <c r="I309" t="s">
        <v>33</v>
      </c>
      <c r="J309" t="s">
        <v>199</v>
      </c>
      <c r="K309" t="s">
        <v>200</v>
      </c>
      <c r="L309" t="s">
        <v>130</v>
      </c>
      <c r="M309">
        <v>2</v>
      </c>
      <c r="N309">
        <v>1420</v>
      </c>
      <c r="O309" s="2">
        <v>5</v>
      </c>
      <c r="P309" s="2">
        <v>2698</v>
      </c>
      <c r="Q309" s="2">
        <v>1654.87</v>
      </c>
      <c r="R309" s="2">
        <v>1043.1300000000001</v>
      </c>
      <c r="S309" t="s">
        <v>50</v>
      </c>
      <c r="T309">
        <v>4</v>
      </c>
      <c r="U309" t="s">
        <v>51</v>
      </c>
      <c r="V309" t="s">
        <v>86</v>
      </c>
      <c r="W309" s="3">
        <f>Table1[[#This Row],[Profit]]/Table1[[#This Row],[Sales]]</f>
        <v>0.38663083765752415</v>
      </c>
      <c r="X309" t="str">
        <f>IF(Table1[[#This Row],[Sales]]&gt;=30000,"High Value",IF(Table1[[#This Row],[Sales]]&gt;=15000,"Medium Value","Low Value"))</f>
        <v>Low Value</v>
      </c>
      <c r="Y309" t="str">
        <f>IF(Table1[[#This Row],[Quantity]]&gt;=3,"Bulk Order","Regular Order")</f>
        <v>Regular Order</v>
      </c>
      <c r="Z309" t="str">
        <f>TEXT(Table1[[#This Row],[Order Date]],"dddd")</f>
        <v>Sunday</v>
      </c>
    </row>
    <row r="310" spans="1:26" ht="14.4" x14ac:dyDescent="0.3">
      <c r="A310" t="s">
        <v>884</v>
      </c>
      <c r="B310" t="s">
        <v>885</v>
      </c>
      <c r="C310" s="2">
        <v>46191</v>
      </c>
      <c r="D310" t="s">
        <v>42</v>
      </c>
      <c r="E310" t="s">
        <v>133</v>
      </c>
      <c r="F310" t="s">
        <v>581</v>
      </c>
      <c r="G310" t="s">
        <v>99</v>
      </c>
      <c r="H310" t="s">
        <v>46</v>
      </c>
      <c r="I310" t="s">
        <v>33</v>
      </c>
      <c r="J310" t="s">
        <v>59</v>
      </c>
      <c r="K310" t="s">
        <v>95</v>
      </c>
      <c r="L310" t="s">
        <v>36</v>
      </c>
      <c r="M310">
        <v>1</v>
      </c>
      <c r="N310">
        <v>15551</v>
      </c>
      <c r="O310" s="2">
        <v>0</v>
      </c>
      <c r="P310" s="2">
        <v>15551</v>
      </c>
      <c r="Q310" s="2">
        <v>12200.3</v>
      </c>
      <c r="R310" s="2">
        <v>3350.7</v>
      </c>
      <c r="S310" t="s">
        <v>37</v>
      </c>
      <c r="T310">
        <v>5</v>
      </c>
      <c r="U310" t="s">
        <v>51</v>
      </c>
      <c r="V310" t="s">
        <v>86</v>
      </c>
      <c r="W310" s="3">
        <f>Table1[[#This Row],[Profit]]/Table1[[#This Row],[Sales]]</f>
        <v>0.21546524339270784</v>
      </c>
      <c r="X310" t="str">
        <f>IF(Table1[[#This Row],[Sales]]&gt;=30000,"High Value",IF(Table1[[#This Row],[Sales]]&gt;=15000,"Medium Value","Low Value"))</f>
        <v>Medium Value</v>
      </c>
      <c r="Y310" t="str">
        <f>IF(Table1[[#This Row],[Quantity]]&gt;=3,"Bulk Order","Regular Order")</f>
        <v>Regular Order</v>
      </c>
      <c r="Z310" t="str">
        <f>TEXT(Table1[[#This Row],[Order Date]],"dddd")</f>
        <v>Thursday</v>
      </c>
    </row>
    <row r="311" spans="1:26" ht="14.4" x14ac:dyDescent="0.3">
      <c r="A311" t="s">
        <v>886</v>
      </c>
      <c r="B311" t="s">
        <v>887</v>
      </c>
      <c r="C311" s="2">
        <v>46157</v>
      </c>
      <c r="D311" t="s">
        <v>28</v>
      </c>
      <c r="E311" t="s">
        <v>133</v>
      </c>
      <c r="F311" t="s">
        <v>167</v>
      </c>
      <c r="G311" t="s">
        <v>454</v>
      </c>
      <c r="H311" t="s">
        <v>32</v>
      </c>
      <c r="I311" t="s">
        <v>33</v>
      </c>
      <c r="J311" t="s">
        <v>34</v>
      </c>
      <c r="K311" t="s">
        <v>35</v>
      </c>
      <c r="L311" t="s">
        <v>36</v>
      </c>
      <c r="M311">
        <v>1</v>
      </c>
      <c r="N311">
        <v>11537</v>
      </c>
      <c r="O311" s="2">
        <v>5</v>
      </c>
      <c r="P311" s="2">
        <v>10960.15</v>
      </c>
      <c r="Q311" s="2">
        <v>8899.83</v>
      </c>
      <c r="R311" s="2">
        <v>2060.3200000000002</v>
      </c>
      <c r="S311" t="s">
        <v>37</v>
      </c>
      <c r="T311">
        <v>5</v>
      </c>
      <c r="U311" t="s">
        <v>38</v>
      </c>
      <c r="V311" t="s">
        <v>86</v>
      </c>
      <c r="W311" s="3">
        <f>Table1[[#This Row],[Profit]]/Table1[[#This Row],[Sales]]</f>
        <v>0.18798282870216193</v>
      </c>
      <c r="X311" t="str">
        <f>IF(Table1[[#This Row],[Sales]]&gt;=30000,"High Value",IF(Table1[[#This Row],[Sales]]&gt;=15000,"Medium Value","Low Value"))</f>
        <v>Low Value</v>
      </c>
      <c r="Y311" t="str">
        <f>IF(Table1[[#This Row],[Quantity]]&gt;=3,"Bulk Order","Regular Order")</f>
        <v>Regular Order</v>
      </c>
      <c r="Z311" t="str">
        <f>TEXT(Table1[[#This Row],[Order Date]],"dddd")</f>
        <v>Friday</v>
      </c>
    </row>
    <row r="312" spans="1:26" ht="14.4" x14ac:dyDescent="0.3">
      <c r="A312" t="s">
        <v>888</v>
      </c>
      <c r="B312" t="s">
        <v>889</v>
      </c>
      <c r="C312" s="2">
        <v>46167</v>
      </c>
      <c r="D312" t="s">
        <v>28</v>
      </c>
      <c r="E312" t="s">
        <v>78</v>
      </c>
      <c r="F312" t="s">
        <v>581</v>
      </c>
      <c r="G312" t="s">
        <v>249</v>
      </c>
      <c r="H312" t="s">
        <v>32</v>
      </c>
      <c r="I312" t="s">
        <v>33</v>
      </c>
      <c r="J312" t="s">
        <v>169</v>
      </c>
      <c r="K312" t="s">
        <v>170</v>
      </c>
      <c r="L312" t="s">
        <v>171</v>
      </c>
      <c r="M312">
        <v>1</v>
      </c>
      <c r="N312">
        <v>10167</v>
      </c>
      <c r="O312" s="2">
        <v>10</v>
      </c>
      <c r="P312" s="2">
        <v>9150.2999999999993</v>
      </c>
      <c r="Q312" s="2">
        <v>7482.9</v>
      </c>
      <c r="R312" s="2">
        <v>1667.4</v>
      </c>
      <c r="S312" t="s">
        <v>37</v>
      </c>
      <c r="T312">
        <v>5</v>
      </c>
      <c r="U312" t="s">
        <v>51</v>
      </c>
      <c r="V312" t="s">
        <v>63</v>
      </c>
      <c r="W312" s="3">
        <f>Table1[[#This Row],[Profit]]/Table1[[#This Row],[Sales]]</f>
        <v>0.18222353365463431</v>
      </c>
      <c r="X312" t="str">
        <f>IF(Table1[[#This Row],[Sales]]&gt;=30000,"High Value",IF(Table1[[#This Row],[Sales]]&gt;=15000,"Medium Value","Low Value"))</f>
        <v>Low Value</v>
      </c>
      <c r="Y312" t="str">
        <f>IF(Table1[[#This Row],[Quantity]]&gt;=3,"Bulk Order","Regular Order")</f>
        <v>Regular Order</v>
      </c>
      <c r="Z312" t="str">
        <f>TEXT(Table1[[#This Row],[Order Date]],"dddd")</f>
        <v>Monday</v>
      </c>
    </row>
    <row r="313" spans="1:26" ht="14.4" x14ac:dyDescent="0.3">
      <c r="A313" t="s">
        <v>890</v>
      </c>
      <c r="B313" t="s">
        <v>891</v>
      </c>
      <c r="C313" s="2">
        <v>46171</v>
      </c>
      <c r="D313" t="s">
        <v>28</v>
      </c>
      <c r="E313" t="s">
        <v>133</v>
      </c>
      <c r="F313" t="s">
        <v>398</v>
      </c>
      <c r="G313" t="s">
        <v>225</v>
      </c>
      <c r="H313" t="s">
        <v>32</v>
      </c>
      <c r="I313" t="s">
        <v>33</v>
      </c>
      <c r="J313" t="s">
        <v>59</v>
      </c>
      <c r="K313" t="s">
        <v>60</v>
      </c>
      <c r="L313" t="s">
        <v>61</v>
      </c>
      <c r="M313">
        <v>2</v>
      </c>
      <c r="N313">
        <v>17025</v>
      </c>
      <c r="O313" s="2">
        <v>5</v>
      </c>
      <c r="P313" s="2">
        <v>32347.5</v>
      </c>
      <c r="Q313" s="2">
        <v>26334.09</v>
      </c>
      <c r="R313" s="2">
        <v>6013.41</v>
      </c>
      <c r="S313" t="s">
        <v>37</v>
      </c>
      <c r="T313">
        <v>4</v>
      </c>
      <c r="U313" t="s">
        <v>51</v>
      </c>
      <c r="V313" t="s">
        <v>39</v>
      </c>
      <c r="W313" s="3">
        <f>Table1[[#This Row],[Profit]]/Table1[[#This Row],[Sales]]</f>
        <v>0.18590030141432876</v>
      </c>
      <c r="X313" t="str">
        <f>IF(Table1[[#This Row],[Sales]]&gt;=30000,"High Value",IF(Table1[[#This Row],[Sales]]&gt;=15000,"Medium Value","Low Value"))</f>
        <v>High Value</v>
      </c>
      <c r="Y313" t="str">
        <f>IF(Table1[[#This Row],[Quantity]]&gt;=3,"Bulk Order","Regular Order")</f>
        <v>Regular Order</v>
      </c>
      <c r="Z313" t="str">
        <f>TEXT(Table1[[#This Row],[Order Date]],"dddd")</f>
        <v>Friday</v>
      </c>
    </row>
    <row r="314" spans="1:26" ht="14.4" x14ac:dyDescent="0.3">
      <c r="A314" t="s">
        <v>892</v>
      </c>
      <c r="B314" t="s">
        <v>893</v>
      </c>
      <c r="C314" s="2">
        <v>46202</v>
      </c>
      <c r="D314" t="s">
        <v>42</v>
      </c>
      <c r="E314" t="s">
        <v>29</v>
      </c>
      <c r="F314" t="s">
        <v>791</v>
      </c>
      <c r="G314" t="s">
        <v>198</v>
      </c>
      <c r="H314" t="s">
        <v>32</v>
      </c>
      <c r="I314" t="s">
        <v>33</v>
      </c>
      <c r="J314" t="s">
        <v>59</v>
      </c>
      <c r="K314" t="s">
        <v>60</v>
      </c>
      <c r="L314" t="s">
        <v>61</v>
      </c>
      <c r="M314">
        <v>1</v>
      </c>
      <c r="N314">
        <v>16893</v>
      </c>
      <c r="O314" s="2">
        <v>10</v>
      </c>
      <c r="P314" s="2">
        <v>15203.7</v>
      </c>
      <c r="Q314" s="2">
        <v>12324.66</v>
      </c>
      <c r="R314" s="2">
        <v>2879.04</v>
      </c>
      <c r="S314" t="s">
        <v>37</v>
      </c>
      <c r="T314">
        <v>5</v>
      </c>
      <c r="U314" t="s">
        <v>51</v>
      </c>
      <c r="V314" t="s">
        <v>86</v>
      </c>
      <c r="W314" s="3">
        <f>Table1[[#This Row],[Profit]]/Table1[[#This Row],[Sales]]</f>
        <v>0.18936443102665798</v>
      </c>
      <c r="X314" t="str">
        <f>IF(Table1[[#This Row],[Sales]]&gt;=30000,"High Value",IF(Table1[[#This Row],[Sales]]&gt;=15000,"Medium Value","Low Value"))</f>
        <v>Medium Value</v>
      </c>
      <c r="Y314" t="str">
        <f>IF(Table1[[#This Row],[Quantity]]&gt;=3,"Bulk Order","Regular Order")</f>
        <v>Regular Order</v>
      </c>
      <c r="Z314" t="str">
        <f>TEXT(Table1[[#This Row],[Order Date]],"dddd")</f>
        <v>Monday</v>
      </c>
    </row>
    <row r="315" spans="1:26" ht="14.4" x14ac:dyDescent="0.3">
      <c r="A315" t="s">
        <v>894</v>
      </c>
      <c r="B315" t="s">
        <v>895</v>
      </c>
      <c r="C315" s="2">
        <v>46172</v>
      </c>
      <c r="D315" t="s">
        <v>28</v>
      </c>
      <c r="E315" t="s">
        <v>66</v>
      </c>
      <c r="F315" t="s">
        <v>154</v>
      </c>
      <c r="G315" t="s">
        <v>57</v>
      </c>
      <c r="H315" t="s">
        <v>46</v>
      </c>
      <c r="I315" t="s">
        <v>33</v>
      </c>
      <c r="J315" t="s">
        <v>34</v>
      </c>
      <c r="K315" t="s">
        <v>35</v>
      </c>
      <c r="L315" t="s">
        <v>36</v>
      </c>
      <c r="M315">
        <v>2</v>
      </c>
      <c r="N315">
        <v>13385</v>
      </c>
      <c r="O315" s="2">
        <v>0</v>
      </c>
      <c r="P315" s="2">
        <v>26770</v>
      </c>
      <c r="Q315" s="2">
        <v>21549.58</v>
      </c>
      <c r="R315" s="2">
        <v>5220.42</v>
      </c>
      <c r="S315" t="s">
        <v>81</v>
      </c>
      <c r="T315">
        <v>4</v>
      </c>
      <c r="U315" t="s">
        <v>51</v>
      </c>
      <c r="V315" t="s">
        <v>116</v>
      </c>
      <c r="W315" s="3">
        <f>Table1[[#This Row],[Profit]]/Table1[[#This Row],[Sales]]</f>
        <v>0.19501008591707136</v>
      </c>
      <c r="X315" t="str">
        <f>IF(Table1[[#This Row],[Sales]]&gt;=30000,"High Value",IF(Table1[[#This Row],[Sales]]&gt;=15000,"Medium Value","Low Value"))</f>
        <v>Medium Value</v>
      </c>
      <c r="Y315" t="str">
        <f>IF(Table1[[#This Row],[Quantity]]&gt;=3,"Bulk Order","Regular Order")</f>
        <v>Regular Order</v>
      </c>
      <c r="Z315" t="str">
        <f>TEXT(Table1[[#This Row],[Order Date]],"dddd")</f>
        <v>Saturday</v>
      </c>
    </row>
    <row r="316" spans="1:26" ht="14.4" x14ac:dyDescent="0.3">
      <c r="A316" t="s">
        <v>896</v>
      </c>
      <c r="B316" t="s">
        <v>897</v>
      </c>
      <c r="C316" s="2">
        <v>46143</v>
      </c>
      <c r="D316" t="s">
        <v>28</v>
      </c>
      <c r="E316" t="s">
        <v>102</v>
      </c>
      <c r="F316" t="s">
        <v>462</v>
      </c>
      <c r="G316" t="s">
        <v>148</v>
      </c>
      <c r="H316" t="s">
        <v>32</v>
      </c>
      <c r="I316" t="s">
        <v>33</v>
      </c>
      <c r="J316" t="s">
        <v>47</v>
      </c>
      <c r="K316" t="s">
        <v>69</v>
      </c>
      <c r="L316" t="s">
        <v>70</v>
      </c>
      <c r="M316">
        <v>1</v>
      </c>
      <c r="N316">
        <v>9284</v>
      </c>
      <c r="O316" s="2">
        <v>0</v>
      </c>
      <c r="P316" s="2">
        <v>9284</v>
      </c>
      <c r="Q316" s="2">
        <v>7279.88</v>
      </c>
      <c r="R316" s="2">
        <v>2004.12</v>
      </c>
      <c r="S316" t="s">
        <v>37</v>
      </c>
      <c r="T316">
        <v>3</v>
      </c>
      <c r="U316" t="s">
        <v>38</v>
      </c>
      <c r="V316" t="s">
        <v>86</v>
      </c>
      <c r="W316" s="3">
        <f>Table1[[#This Row],[Profit]]/Table1[[#This Row],[Sales]]</f>
        <v>0.21586816027574321</v>
      </c>
      <c r="X316" t="str">
        <f>IF(Table1[[#This Row],[Sales]]&gt;=30000,"High Value",IF(Table1[[#This Row],[Sales]]&gt;=15000,"Medium Value","Low Value"))</f>
        <v>Low Value</v>
      </c>
      <c r="Y316" t="str">
        <f>IF(Table1[[#This Row],[Quantity]]&gt;=3,"Bulk Order","Regular Order")</f>
        <v>Regular Order</v>
      </c>
      <c r="Z316" t="str">
        <f>TEXT(Table1[[#This Row],[Order Date]],"dddd")</f>
        <v>Friday</v>
      </c>
    </row>
    <row r="317" spans="1:26" ht="14.4" x14ac:dyDescent="0.3">
      <c r="A317" t="s">
        <v>898</v>
      </c>
      <c r="B317" t="s">
        <v>899</v>
      </c>
      <c r="C317" s="2">
        <v>46153</v>
      </c>
      <c r="D317" t="s">
        <v>28</v>
      </c>
      <c r="E317" t="s">
        <v>66</v>
      </c>
      <c r="F317" t="s">
        <v>900</v>
      </c>
      <c r="G317" t="s">
        <v>235</v>
      </c>
      <c r="H317" t="s">
        <v>46</v>
      </c>
      <c r="I317" t="s">
        <v>33</v>
      </c>
      <c r="J317" t="s">
        <v>128</v>
      </c>
      <c r="K317" t="s">
        <v>129</v>
      </c>
      <c r="L317" t="s">
        <v>130</v>
      </c>
      <c r="M317">
        <v>1</v>
      </c>
      <c r="N317">
        <v>2171</v>
      </c>
      <c r="O317" s="2">
        <v>10</v>
      </c>
      <c r="P317" s="2">
        <v>1953.9</v>
      </c>
      <c r="Q317" s="2">
        <v>1305.5999999999999</v>
      </c>
      <c r="R317" s="2">
        <v>648.29999999999995</v>
      </c>
      <c r="S317" t="s">
        <v>37</v>
      </c>
      <c r="T317">
        <v>5</v>
      </c>
      <c r="U317" t="s">
        <v>51</v>
      </c>
      <c r="V317" t="s">
        <v>75</v>
      </c>
      <c r="W317" s="3">
        <f>Table1[[#This Row],[Profit]]/Table1[[#This Row],[Sales]]</f>
        <v>0.33179794257638567</v>
      </c>
      <c r="X317" t="str">
        <f>IF(Table1[[#This Row],[Sales]]&gt;=30000,"High Value",IF(Table1[[#This Row],[Sales]]&gt;=15000,"Medium Value","Low Value"))</f>
        <v>Low Value</v>
      </c>
      <c r="Y317" t="str">
        <f>IF(Table1[[#This Row],[Quantity]]&gt;=3,"Bulk Order","Regular Order")</f>
        <v>Regular Order</v>
      </c>
      <c r="Z317" t="str">
        <f>TEXT(Table1[[#This Row],[Order Date]],"dddd")</f>
        <v>Monday</v>
      </c>
    </row>
    <row r="318" spans="1:26" ht="14.4" x14ac:dyDescent="0.3">
      <c r="A318" t="s">
        <v>901</v>
      </c>
      <c r="B318" t="s">
        <v>902</v>
      </c>
      <c r="C318" s="2">
        <v>46151</v>
      </c>
      <c r="D318" t="s">
        <v>28</v>
      </c>
      <c r="E318" t="s">
        <v>29</v>
      </c>
      <c r="F318" t="s">
        <v>581</v>
      </c>
      <c r="G318" t="s">
        <v>322</v>
      </c>
      <c r="H318" t="s">
        <v>32</v>
      </c>
      <c r="I318" t="s">
        <v>33</v>
      </c>
      <c r="J318" t="s">
        <v>169</v>
      </c>
      <c r="K318" t="s">
        <v>170</v>
      </c>
      <c r="L318" t="s">
        <v>171</v>
      </c>
      <c r="M318">
        <v>2</v>
      </c>
      <c r="N318">
        <v>11767</v>
      </c>
      <c r="O318" s="2">
        <v>5</v>
      </c>
      <c r="P318" s="2">
        <v>22357.3</v>
      </c>
      <c r="Q318" s="2">
        <v>17650.71</v>
      </c>
      <c r="R318" s="2">
        <v>4706.59</v>
      </c>
      <c r="S318" t="s">
        <v>50</v>
      </c>
      <c r="T318">
        <v>4</v>
      </c>
      <c r="U318" t="s">
        <v>51</v>
      </c>
      <c r="V318" t="s">
        <v>116</v>
      </c>
      <c r="W318" s="3">
        <f>Table1[[#This Row],[Profit]]/Table1[[#This Row],[Sales]]</f>
        <v>0.21051692288424811</v>
      </c>
      <c r="X318" t="str">
        <f>IF(Table1[[#This Row],[Sales]]&gt;=30000,"High Value",IF(Table1[[#This Row],[Sales]]&gt;=15000,"Medium Value","Low Value"))</f>
        <v>Medium Value</v>
      </c>
      <c r="Y318" t="str">
        <f>IF(Table1[[#This Row],[Quantity]]&gt;=3,"Bulk Order","Regular Order")</f>
        <v>Regular Order</v>
      </c>
      <c r="Z318" t="str">
        <f>TEXT(Table1[[#This Row],[Order Date]],"dddd")</f>
        <v>Saturday</v>
      </c>
    </row>
    <row r="319" spans="1:26" ht="14.4" x14ac:dyDescent="0.3">
      <c r="A319" t="s">
        <v>903</v>
      </c>
      <c r="B319" t="s">
        <v>904</v>
      </c>
      <c r="C319" s="2">
        <v>46203</v>
      </c>
      <c r="D319" t="s">
        <v>42</v>
      </c>
      <c r="E319" t="s">
        <v>55</v>
      </c>
      <c r="F319" t="s">
        <v>297</v>
      </c>
      <c r="G319" t="s">
        <v>138</v>
      </c>
      <c r="H319" t="s">
        <v>32</v>
      </c>
      <c r="I319" t="s">
        <v>58</v>
      </c>
      <c r="J319" t="s">
        <v>59</v>
      </c>
      <c r="K319" t="s">
        <v>60</v>
      </c>
      <c r="L319" t="s">
        <v>61</v>
      </c>
      <c r="M319">
        <v>3</v>
      </c>
      <c r="N319">
        <v>17095</v>
      </c>
      <c r="O319" s="2">
        <v>5</v>
      </c>
      <c r="P319" s="2">
        <v>48720.75</v>
      </c>
      <c r="Q319" s="2">
        <v>38403.26</v>
      </c>
      <c r="R319" s="2">
        <v>10317.49</v>
      </c>
      <c r="S319" t="s">
        <v>37</v>
      </c>
      <c r="T319">
        <v>5</v>
      </c>
      <c r="U319" t="s">
        <v>51</v>
      </c>
      <c r="V319" t="s">
        <v>75</v>
      </c>
      <c r="W319" s="3">
        <f>Table1[[#This Row],[Profit]]/Table1[[#This Row],[Sales]]</f>
        <v>0.21176788124156545</v>
      </c>
      <c r="X319" t="str">
        <f>IF(Table1[[#This Row],[Sales]]&gt;=30000,"High Value",IF(Table1[[#This Row],[Sales]]&gt;=15000,"Medium Value","Low Value"))</f>
        <v>High Value</v>
      </c>
      <c r="Y319" t="str">
        <f>IF(Table1[[#This Row],[Quantity]]&gt;=3,"Bulk Order","Regular Order")</f>
        <v>Bulk Order</v>
      </c>
      <c r="Z319" t="str">
        <f>TEXT(Table1[[#This Row],[Order Date]],"dddd")</f>
        <v>Tuesday</v>
      </c>
    </row>
    <row r="320" spans="1:26" ht="14.4" x14ac:dyDescent="0.3">
      <c r="A320" t="s">
        <v>905</v>
      </c>
      <c r="B320" t="s">
        <v>906</v>
      </c>
      <c r="C320" s="2">
        <v>46166</v>
      </c>
      <c r="D320" t="s">
        <v>28</v>
      </c>
      <c r="E320" t="s">
        <v>133</v>
      </c>
      <c r="F320" t="s">
        <v>512</v>
      </c>
      <c r="G320" t="s">
        <v>412</v>
      </c>
      <c r="H320" t="s">
        <v>46</v>
      </c>
      <c r="I320" t="s">
        <v>33</v>
      </c>
      <c r="J320" t="s">
        <v>34</v>
      </c>
      <c r="K320" t="s">
        <v>35</v>
      </c>
      <c r="L320" t="s">
        <v>36</v>
      </c>
      <c r="M320">
        <v>1</v>
      </c>
      <c r="N320">
        <v>10978</v>
      </c>
      <c r="O320" s="2">
        <v>0</v>
      </c>
      <c r="P320" s="2">
        <v>10978</v>
      </c>
      <c r="Q320" s="2">
        <v>8856.85</v>
      </c>
      <c r="R320" s="2">
        <v>2121.15</v>
      </c>
      <c r="S320" t="s">
        <v>81</v>
      </c>
      <c r="T320">
        <v>5</v>
      </c>
      <c r="U320" t="s">
        <v>51</v>
      </c>
      <c r="V320" t="s">
        <v>52</v>
      </c>
      <c r="W320" s="3">
        <f>Table1[[#This Row],[Profit]]/Table1[[#This Row],[Sales]]</f>
        <v>0.1932182546912006</v>
      </c>
      <c r="X320" t="str">
        <f>IF(Table1[[#This Row],[Sales]]&gt;=30000,"High Value",IF(Table1[[#This Row],[Sales]]&gt;=15000,"Medium Value","Low Value"))</f>
        <v>Low Value</v>
      </c>
      <c r="Y320" t="str">
        <f>IF(Table1[[#This Row],[Quantity]]&gt;=3,"Bulk Order","Regular Order")</f>
        <v>Regular Order</v>
      </c>
      <c r="Z320" t="str">
        <f>TEXT(Table1[[#This Row],[Order Date]],"dddd")</f>
        <v>Sunday</v>
      </c>
    </row>
    <row r="321" spans="1:26" ht="14.4" x14ac:dyDescent="0.3">
      <c r="A321" t="s">
        <v>907</v>
      </c>
      <c r="B321" t="s">
        <v>908</v>
      </c>
      <c r="C321" s="2">
        <v>46192</v>
      </c>
      <c r="D321" t="s">
        <v>42</v>
      </c>
      <c r="E321" t="s">
        <v>43</v>
      </c>
      <c r="F321" t="s">
        <v>457</v>
      </c>
      <c r="G321" t="s">
        <v>124</v>
      </c>
      <c r="H321" t="s">
        <v>46</v>
      </c>
      <c r="I321" t="s">
        <v>33</v>
      </c>
      <c r="J321" t="s">
        <v>47</v>
      </c>
      <c r="K321" t="s">
        <v>48</v>
      </c>
      <c r="L321" t="s">
        <v>49</v>
      </c>
      <c r="M321">
        <v>1</v>
      </c>
      <c r="N321">
        <v>7025</v>
      </c>
      <c r="O321" s="2">
        <v>15</v>
      </c>
      <c r="P321" s="2">
        <v>5971.25</v>
      </c>
      <c r="Q321" s="2">
        <v>4845.2</v>
      </c>
      <c r="R321" s="2">
        <v>1126.05</v>
      </c>
      <c r="S321" t="s">
        <v>37</v>
      </c>
      <c r="T321">
        <v>4</v>
      </c>
      <c r="U321" t="s">
        <v>51</v>
      </c>
      <c r="V321" t="s">
        <v>86</v>
      </c>
      <c r="W321" s="3">
        <f>Table1[[#This Row],[Profit]]/Table1[[#This Row],[Sales]]</f>
        <v>0.18857860581955202</v>
      </c>
      <c r="X321" t="str">
        <f>IF(Table1[[#This Row],[Sales]]&gt;=30000,"High Value",IF(Table1[[#This Row],[Sales]]&gt;=15000,"Medium Value","Low Value"))</f>
        <v>Low Value</v>
      </c>
      <c r="Y321" t="str">
        <f>IF(Table1[[#This Row],[Quantity]]&gt;=3,"Bulk Order","Regular Order")</f>
        <v>Regular Order</v>
      </c>
      <c r="Z321" t="str">
        <f>TEXT(Table1[[#This Row],[Order Date]],"dddd")</f>
        <v>Friday</v>
      </c>
    </row>
    <row r="322" spans="1:26" ht="14.4" x14ac:dyDescent="0.3">
      <c r="A322" t="s">
        <v>909</v>
      </c>
      <c r="B322" t="s">
        <v>910</v>
      </c>
      <c r="C322" s="2">
        <v>46175</v>
      </c>
      <c r="D322" t="s">
        <v>42</v>
      </c>
      <c r="E322" t="s">
        <v>66</v>
      </c>
      <c r="F322" t="s">
        <v>462</v>
      </c>
      <c r="G322" t="s">
        <v>911</v>
      </c>
      <c r="H322" t="s">
        <v>46</v>
      </c>
      <c r="I322" t="s">
        <v>33</v>
      </c>
      <c r="J322" t="s">
        <v>47</v>
      </c>
      <c r="K322" t="s">
        <v>48</v>
      </c>
      <c r="L322" t="s">
        <v>49</v>
      </c>
      <c r="M322">
        <v>2</v>
      </c>
      <c r="N322">
        <v>8764</v>
      </c>
      <c r="O322" s="2">
        <v>10</v>
      </c>
      <c r="P322" s="2">
        <v>15775.2</v>
      </c>
      <c r="Q322" s="2">
        <v>12375.07</v>
      </c>
      <c r="R322" s="2">
        <v>3400.13</v>
      </c>
      <c r="S322" t="s">
        <v>50</v>
      </c>
      <c r="T322">
        <v>4</v>
      </c>
      <c r="U322" t="s">
        <v>51</v>
      </c>
      <c r="V322" t="s">
        <v>52</v>
      </c>
      <c r="W322" s="3">
        <f>Table1[[#This Row],[Profit]]/Table1[[#This Row],[Sales]]</f>
        <v>0.21553641158273745</v>
      </c>
      <c r="X322" t="str">
        <f>IF(Table1[[#This Row],[Sales]]&gt;=30000,"High Value",IF(Table1[[#This Row],[Sales]]&gt;=15000,"Medium Value","Low Value"))</f>
        <v>Medium Value</v>
      </c>
      <c r="Y322" t="str">
        <f>IF(Table1[[#This Row],[Quantity]]&gt;=3,"Bulk Order","Regular Order")</f>
        <v>Regular Order</v>
      </c>
      <c r="Z322" t="str">
        <f>TEXT(Table1[[#This Row],[Order Date]],"dddd")</f>
        <v>Tuesday</v>
      </c>
    </row>
    <row r="323" spans="1:26" ht="14.4" x14ac:dyDescent="0.3">
      <c r="A323" t="s">
        <v>912</v>
      </c>
      <c r="B323" t="s">
        <v>913</v>
      </c>
      <c r="C323" s="2">
        <v>46202</v>
      </c>
      <c r="D323" t="s">
        <v>42</v>
      </c>
      <c r="E323" t="s">
        <v>66</v>
      </c>
      <c r="F323" t="s">
        <v>89</v>
      </c>
      <c r="G323" t="s">
        <v>80</v>
      </c>
      <c r="H323" t="s">
        <v>46</v>
      </c>
      <c r="I323" t="s">
        <v>58</v>
      </c>
      <c r="J323" t="s">
        <v>59</v>
      </c>
      <c r="K323" t="s">
        <v>95</v>
      </c>
      <c r="L323" t="s">
        <v>36</v>
      </c>
      <c r="M323">
        <v>5</v>
      </c>
      <c r="N323">
        <v>16323</v>
      </c>
      <c r="O323" s="2">
        <v>0</v>
      </c>
      <c r="P323" s="2">
        <v>81615</v>
      </c>
      <c r="Q323" s="2">
        <v>66609.33</v>
      </c>
      <c r="R323" s="2">
        <v>15005.67</v>
      </c>
      <c r="S323" t="s">
        <v>37</v>
      </c>
      <c r="T323">
        <v>3</v>
      </c>
      <c r="U323" t="s">
        <v>51</v>
      </c>
      <c r="V323" t="s">
        <v>63</v>
      </c>
      <c r="W323" s="3">
        <f>Table1[[#This Row],[Profit]]/Table1[[#This Row],[Sales]]</f>
        <v>0.18385921705568831</v>
      </c>
      <c r="X323" t="str">
        <f>IF(Table1[[#This Row],[Sales]]&gt;=30000,"High Value",IF(Table1[[#This Row],[Sales]]&gt;=15000,"Medium Value","Low Value"))</f>
        <v>High Value</v>
      </c>
      <c r="Y323" t="str">
        <f>IF(Table1[[#This Row],[Quantity]]&gt;=3,"Bulk Order","Regular Order")</f>
        <v>Bulk Order</v>
      </c>
      <c r="Z323" t="str">
        <f>TEXT(Table1[[#This Row],[Order Date]],"dddd")</f>
        <v>Monday</v>
      </c>
    </row>
    <row r="324" spans="1:26" ht="14.4" x14ac:dyDescent="0.3">
      <c r="A324" t="s">
        <v>914</v>
      </c>
      <c r="B324" t="s">
        <v>915</v>
      </c>
      <c r="C324" s="2">
        <v>46202</v>
      </c>
      <c r="D324" t="s">
        <v>42</v>
      </c>
      <c r="E324" t="s">
        <v>133</v>
      </c>
      <c r="F324" t="s">
        <v>581</v>
      </c>
      <c r="G324" t="s">
        <v>454</v>
      </c>
      <c r="H324" t="s">
        <v>32</v>
      </c>
      <c r="I324" t="s">
        <v>33</v>
      </c>
      <c r="J324" t="s">
        <v>59</v>
      </c>
      <c r="K324" t="s">
        <v>95</v>
      </c>
      <c r="L324" t="s">
        <v>36</v>
      </c>
      <c r="M324">
        <v>1</v>
      </c>
      <c r="N324">
        <v>14748</v>
      </c>
      <c r="O324" s="2">
        <v>10</v>
      </c>
      <c r="P324" s="2">
        <v>13273.2</v>
      </c>
      <c r="Q324" s="2">
        <v>10430.36</v>
      </c>
      <c r="R324" s="2">
        <v>2842.84</v>
      </c>
      <c r="S324" t="s">
        <v>62</v>
      </c>
      <c r="T324">
        <v>5</v>
      </c>
      <c r="U324" t="s">
        <v>51</v>
      </c>
      <c r="V324" t="s">
        <v>39</v>
      </c>
      <c r="W324" s="3">
        <f>Table1[[#This Row],[Profit]]/Table1[[#This Row],[Sales]]</f>
        <v>0.21417894705120091</v>
      </c>
      <c r="X324" t="str">
        <f>IF(Table1[[#This Row],[Sales]]&gt;=30000,"High Value",IF(Table1[[#This Row],[Sales]]&gt;=15000,"Medium Value","Low Value"))</f>
        <v>Low Value</v>
      </c>
      <c r="Y324" t="str">
        <f>IF(Table1[[#This Row],[Quantity]]&gt;=3,"Bulk Order","Regular Order")</f>
        <v>Regular Order</v>
      </c>
      <c r="Z324" t="str">
        <f>TEXT(Table1[[#This Row],[Order Date]],"dddd")</f>
        <v>Monday</v>
      </c>
    </row>
    <row r="325" spans="1:26" ht="14.4" x14ac:dyDescent="0.3">
      <c r="A325" t="s">
        <v>916</v>
      </c>
      <c r="B325" t="s">
        <v>917</v>
      </c>
      <c r="C325" s="2">
        <v>46185</v>
      </c>
      <c r="D325" t="s">
        <v>42</v>
      </c>
      <c r="E325" t="s">
        <v>55</v>
      </c>
      <c r="F325" t="s">
        <v>918</v>
      </c>
      <c r="G325" t="s">
        <v>389</v>
      </c>
      <c r="H325" t="s">
        <v>46</v>
      </c>
      <c r="I325" t="s">
        <v>33</v>
      </c>
      <c r="J325" t="s">
        <v>47</v>
      </c>
      <c r="K325" t="s">
        <v>69</v>
      </c>
      <c r="L325" t="s">
        <v>70</v>
      </c>
      <c r="M325">
        <v>2</v>
      </c>
      <c r="N325">
        <v>8014</v>
      </c>
      <c r="O325" s="2">
        <v>10</v>
      </c>
      <c r="P325" s="2">
        <v>14425.2</v>
      </c>
      <c r="Q325" s="2">
        <v>11492.51</v>
      </c>
      <c r="R325" s="2">
        <v>2932.69</v>
      </c>
      <c r="S325" t="s">
        <v>50</v>
      </c>
      <c r="T325">
        <v>5</v>
      </c>
      <c r="U325" t="s">
        <v>51</v>
      </c>
      <c r="V325" t="s">
        <v>116</v>
      </c>
      <c r="W325" s="3">
        <f>Table1[[#This Row],[Profit]]/Table1[[#This Row],[Sales]]</f>
        <v>0.20330324709536088</v>
      </c>
      <c r="X325" t="str">
        <f>IF(Table1[[#This Row],[Sales]]&gt;=30000,"High Value",IF(Table1[[#This Row],[Sales]]&gt;=15000,"Medium Value","Low Value"))</f>
        <v>Low Value</v>
      </c>
      <c r="Y325" t="str">
        <f>IF(Table1[[#This Row],[Quantity]]&gt;=3,"Bulk Order","Regular Order")</f>
        <v>Regular Order</v>
      </c>
      <c r="Z325" t="str">
        <f>TEXT(Table1[[#This Row],[Order Date]],"dddd")</f>
        <v>Friday</v>
      </c>
    </row>
    <row r="326" spans="1:26" ht="14.4" x14ac:dyDescent="0.3">
      <c r="A326" t="s">
        <v>919</v>
      </c>
      <c r="B326" t="s">
        <v>920</v>
      </c>
      <c r="C326" s="2">
        <v>46177</v>
      </c>
      <c r="D326" t="s">
        <v>42</v>
      </c>
      <c r="E326" t="s">
        <v>43</v>
      </c>
      <c r="F326" t="s">
        <v>358</v>
      </c>
      <c r="G326" t="s">
        <v>211</v>
      </c>
      <c r="H326" t="s">
        <v>32</v>
      </c>
      <c r="I326" t="s">
        <v>58</v>
      </c>
      <c r="J326" t="s">
        <v>59</v>
      </c>
      <c r="K326" t="s">
        <v>60</v>
      </c>
      <c r="L326" t="s">
        <v>61</v>
      </c>
      <c r="M326">
        <v>4</v>
      </c>
      <c r="N326">
        <v>16259</v>
      </c>
      <c r="O326" s="2">
        <v>10</v>
      </c>
      <c r="P326" s="2">
        <v>58532.4</v>
      </c>
      <c r="Q326" s="2">
        <v>46010.91</v>
      </c>
      <c r="R326" s="2">
        <v>12521.49</v>
      </c>
      <c r="S326" t="s">
        <v>37</v>
      </c>
      <c r="T326">
        <v>4</v>
      </c>
      <c r="U326" t="s">
        <v>51</v>
      </c>
      <c r="V326" t="s">
        <v>39</v>
      </c>
      <c r="W326" s="3">
        <f>Table1[[#This Row],[Profit]]/Table1[[#This Row],[Sales]]</f>
        <v>0.21392408307193964</v>
      </c>
      <c r="X326" t="str">
        <f>IF(Table1[[#This Row],[Sales]]&gt;=30000,"High Value",IF(Table1[[#This Row],[Sales]]&gt;=15000,"Medium Value","Low Value"))</f>
        <v>High Value</v>
      </c>
      <c r="Y326" t="str">
        <f>IF(Table1[[#This Row],[Quantity]]&gt;=3,"Bulk Order","Regular Order")</f>
        <v>Bulk Order</v>
      </c>
      <c r="Z326" t="str">
        <f>TEXT(Table1[[#This Row],[Order Date]],"dddd")</f>
        <v>Thursday</v>
      </c>
    </row>
    <row r="327" spans="1:26" ht="14.4" x14ac:dyDescent="0.3">
      <c r="A327" t="s">
        <v>921</v>
      </c>
      <c r="B327" t="s">
        <v>922</v>
      </c>
      <c r="C327" s="2">
        <v>46201</v>
      </c>
      <c r="D327" t="s">
        <v>42</v>
      </c>
      <c r="E327" t="s">
        <v>55</v>
      </c>
      <c r="F327" t="s">
        <v>923</v>
      </c>
      <c r="G327" t="s">
        <v>412</v>
      </c>
      <c r="H327" t="s">
        <v>46</v>
      </c>
      <c r="I327" t="s">
        <v>33</v>
      </c>
      <c r="J327" t="s">
        <v>47</v>
      </c>
      <c r="K327" t="s">
        <v>69</v>
      </c>
      <c r="L327" t="s">
        <v>70</v>
      </c>
      <c r="M327">
        <v>1</v>
      </c>
      <c r="N327">
        <v>8934</v>
      </c>
      <c r="O327" s="2">
        <v>10</v>
      </c>
      <c r="P327" s="2">
        <v>8040.6</v>
      </c>
      <c r="Q327" s="2">
        <v>6525.99</v>
      </c>
      <c r="R327" s="2">
        <v>1514.61</v>
      </c>
      <c r="S327" t="s">
        <v>37</v>
      </c>
      <c r="T327">
        <v>5</v>
      </c>
      <c r="U327" t="s">
        <v>51</v>
      </c>
      <c r="V327" t="s">
        <v>52</v>
      </c>
      <c r="W327" s="3">
        <f>Table1[[#This Row],[Profit]]/Table1[[#This Row],[Sales]]</f>
        <v>0.1883702708753078</v>
      </c>
      <c r="X327" t="str">
        <f>IF(Table1[[#This Row],[Sales]]&gt;=30000,"High Value",IF(Table1[[#This Row],[Sales]]&gt;=15000,"Medium Value","Low Value"))</f>
        <v>Low Value</v>
      </c>
      <c r="Y327" t="str">
        <f>IF(Table1[[#This Row],[Quantity]]&gt;=3,"Bulk Order","Regular Order")</f>
        <v>Regular Order</v>
      </c>
      <c r="Z327" t="str">
        <f>TEXT(Table1[[#This Row],[Order Date]],"dddd")</f>
        <v>Sunday</v>
      </c>
    </row>
    <row r="328" spans="1:26" ht="14.4" x14ac:dyDescent="0.3">
      <c r="A328" t="s">
        <v>924</v>
      </c>
      <c r="B328" t="s">
        <v>925</v>
      </c>
      <c r="C328" s="2">
        <v>46147</v>
      </c>
      <c r="D328" t="s">
        <v>28</v>
      </c>
      <c r="E328" t="s">
        <v>55</v>
      </c>
      <c r="F328" t="s">
        <v>646</v>
      </c>
      <c r="G328" t="s">
        <v>138</v>
      </c>
      <c r="H328" t="s">
        <v>32</v>
      </c>
      <c r="I328" t="s">
        <v>58</v>
      </c>
      <c r="J328" t="s">
        <v>59</v>
      </c>
      <c r="K328" t="s">
        <v>95</v>
      </c>
      <c r="L328" t="s">
        <v>36</v>
      </c>
      <c r="M328">
        <v>3</v>
      </c>
      <c r="N328">
        <v>14718</v>
      </c>
      <c r="O328" s="2">
        <v>0</v>
      </c>
      <c r="P328" s="2">
        <v>44154</v>
      </c>
      <c r="Q328" s="2">
        <v>34952.06</v>
      </c>
      <c r="R328" s="2">
        <v>9201.94</v>
      </c>
      <c r="S328" t="s">
        <v>81</v>
      </c>
      <c r="T328">
        <v>4</v>
      </c>
      <c r="U328" t="s">
        <v>51</v>
      </c>
      <c r="V328" t="s">
        <v>86</v>
      </c>
      <c r="W328" s="3">
        <f>Table1[[#This Row],[Profit]]/Table1[[#This Row],[Sales]]</f>
        <v>0.20840558046836075</v>
      </c>
      <c r="X328" t="str">
        <f>IF(Table1[[#This Row],[Sales]]&gt;=30000,"High Value",IF(Table1[[#This Row],[Sales]]&gt;=15000,"Medium Value","Low Value"))</f>
        <v>High Value</v>
      </c>
      <c r="Y328" t="str">
        <f>IF(Table1[[#This Row],[Quantity]]&gt;=3,"Bulk Order","Regular Order")</f>
        <v>Bulk Order</v>
      </c>
      <c r="Z328" t="str">
        <f>TEXT(Table1[[#This Row],[Order Date]],"dddd")</f>
        <v>Tuesday</v>
      </c>
    </row>
    <row r="329" spans="1:26" ht="14.4" x14ac:dyDescent="0.3">
      <c r="A329" t="s">
        <v>926</v>
      </c>
      <c r="B329" t="s">
        <v>927</v>
      </c>
      <c r="C329" s="2">
        <v>46150</v>
      </c>
      <c r="D329" t="s">
        <v>28</v>
      </c>
      <c r="E329" t="s">
        <v>55</v>
      </c>
      <c r="F329" t="s">
        <v>350</v>
      </c>
      <c r="G329" t="s">
        <v>225</v>
      </c>
      <c r="H329" t="s">
        <v>32</v>
      </c>
      <c r="I329" t="s">
        <v>33</v>
      </c>
      <c r="J329" t="s">
        <v>59</v>
      </c>
      <c r="K329" t="s">
        <v>60</v>
      </c>
      <c r="L329" t="s">
        <v>61</v>
      </c>
      <c r="M329">
        <v>2</v>
      </c>
      <c r="N329">
        <v>15586</v>
      </c>
      <c r="O329" s="2">
        <v>0</v>
      </c>
      <c r="P329" s="2">
        <v>31172</v>
      </c>
      <c r="Q329" s="2">
        <v>25314.01</v>
      </c>
      <c r="R329" s="2">
        <v>5857.99</v>
      </c>
      <c r="S329" t="s">
        <v>62</v>
      </c>
      <c r="T329">
        <v>5</v>
      </c>
      <c r="U329" t="s">
        <v>90</v>
      </c>
      <c r="V329" t="s">
        <v>52</v>
      </c>
      <c r="W329" s="3">
        <f>Table1[[#This Row],[Profit]]/Table1[[#This Row],[Sales]]</f>
        <v>0.18792474015141794</v>
      </c>
      <c r="X329" t="str">
        <f>IF(Table1[[#This Row],[Sales]]&gt;=30000,"High Value",IF(Table1[[#This Row],[Sales]]&gt;=15000,"Medium Value","Low Value"))</f>
        <v>High Value</v>
      </c>
      <c r="Y329" t="str">
        <f>IF(Table1[[#This Row],[Quantity]]&gt;=3,"Bulk Order","Regular Order")</f>
        <v>Regular Order</v>
      </c>
      <c r="Z329" t="str">
        <f>TEXT(Table1[[#This Row],[Order Date]],"dddd")</f>
        <v>Friday</v>
      </c>
    </row>
    <row r="330" spans="1:26" ht="14.4" x14ac:dyDescent="0.3">
      <c r="A330" t="s">
        <v>928</v>
      </c>
      <c r="B330" t="s">
        <v>929</v>
      </c>
      <c r="C330" s="2">
        <v>46203</v>
      </c>
      <c r="D330" t="s">
        <v>42</v>
      </c>
      <c r="E330" t="s">
        <v>43</v>
      </c>
      <c r="F330" t="s">
        <v>930</v>
      </c>
      <c r="G330" t="s">
        <v>204</v>
      </c>
      <c r="H330" t="s">
        <v>46</v>
      </c>
      <c r="I330" t="s">
        <v>33</v>
      </c>
      <c r="J330" t="s">
        <v>149</v>
      </c>
      <c r="K330" t="s">
        <v>150</v>
      </c>
      <c r="L330" t="s">
        <v>151</v>
      </c>
      <c r="M330">
        <v>1</v>
      </c>
      <c r="N330">
        <v>2552</v>
      </c>
      <c r="O330" s="2">
        <v>0</v>
      </c>
      <c r="P330" s="2">
        <v>2552</v>
      </c>
      <c r="Q330" s="2">
        <v>1816.51</v>
      </c>
      <c r="R330" s="2">
        <v>735.49</v>
      </c>
      <c r="S330" t="s">
        <v>37</v>
      </c>
      <c r="T330">
        <v>5</v>
      </c>
      <c r="U330" t="s">
        <v>51</v>
      </c>
      <c r="V330" t="s">
        <v>39</v>
      </c>
      <c r="W330" s="3">
        <f>Table1[[#This Row],[Profit]]/Table1[[#This Row],[Sales]]</f>
        <v>0.28820141065830723</v>
      </c>
      <c r="X330" t="str">
        <f>IF(Table1[[#This Row],[Sales]]&gt;=30000,"High Value",IF(Table1[[#This Row],[Sales]]&gt;=15000,"Medium Value","Low Value"))</f>
        <v>Low Value</v>
      </c>
      <c r="Y330" t="str">
        <f>IF(Table1[[#This Row],[Quantity]]&gt;=3,"Bulk Order","Regular Order")</f>
        <v>Regular Order</v>
      </c>
      <c r="Z330" t="str">
        <f>TEXT(Table1[[#This Row],[Order Date]],"dddd")</f>
        <v>Tuesday</v>
      </c>
    </row>
    <row r="331" spans="1:26" ht="14.4" x14ac:dyDescent="0.3">
      <c r="A331" t="s">
        <v>931</v>
      </c>
      <c r="B331" t="s">
        <v>932</v>
      </c>
      <c r="C331" s="2">
        <v>46177</v>
      </c>
      <c r="D331" t="s">
        <v>42</v>
      </c>
      <c r="E331" t="s">
        <v>55</v>
      </c>
      <c r="F331" t="s">
        <v>73</v>
      </c>
      <c r="G331" t="s">
        <v>138</v>
      </c>
      <c r="H331" t="s">
        <v>32</v>
      </c>
      <c r="I331" t="s">
        <v>33</v>
      </c>
      <c r="J331" t="s">
        <v>59</v>
      </c>
      <c r="K331" t="s">
        <v>60</v>
      </c>
      <c r="L331" t="s">
        <v>61</v>
      </c>
      <c r="M331">
        <v>2</v>
      </c>
      <c r="N331">
        <v>17126</v>
      </c>
      <c r="O331" s="2">
        <v>5</v>
      </c>
      <c r="P331" s="2">
        <v>32539.4</v>
      </c>
      <c r="Q331" s="2">
        <v>25412.33</v>
      </c>
      <c r="R331" s="2">
        <v>7127.07</v>
      </c>
      <c r="S331" t="s">
        <v>37</v>
      </c>
      <c r="T331">
        <v>3</v>
      </c>
      <c r="U331" t="s">
        <v>51</v>
      </c>
      <c r="V331" t="s">
        <v>39</v>
      </c>
      <c r="W331" s="3">
        <f>Table1[[#This Row],[Profit]]/Table1[[#This Row],[Sales]]</f>
        <v>0.21902893108047472</v>
      </c>
      <c r="X331" t="str">
        <f>IF(Table1[[#This Row],[Sales]]&gt;=30000,"High Value",IF(Table1[[#This Row],[Sales]]&gt;=15000,"Medium Value","Low Value"))</f>
        <v>High Value</v>
      </c>
      <c r="Y331" t="str">
        <f>IF(Table1[[#This Row],[Quantity]]&gt;=3,"Bulk Order","Regular Order")</f>
        <v>Regular Order</v>
      </c>
      <c r="Z331" t="str">
        <f>TEXT(Table1[[#This Row],[Order Date]],"dddd")</f>
        <v>Thursday</v>
      </c>
    </row>
    <row r="332" spans="1:26" ht="14.4" x14ac:dyDescent="0.3">
      <c r="A332" t="s">
        <v>933</v>
      </c>
      <c r="B332" t="s">
        <v>934</v>
      </c>
      <c r="C332" s="2">
        <v>46144</v>
      </c>
      <c r="D332" t="s">
        <v>28</v>
      </c>
      <c r="E332" t="s">
        <v>78</v>
      </c>
      <c r="F332" t="s">
        <v>617</v>
      </c>
      <c r="G332" t="s">
        <v>417</v>
      </c>
      <c r="H332" t="s">
        <v>46</v>
      </c>
      <c r="I332" t="s">
        <v>58</v>
      </c>
      <c r="J332" t="s">
        <v>169</v>
      </c>
      <c r="K332" t="s">
        <v>170</v>
      </c>
      <c r="L332" t="s">
        <v>171</v>
      </c>
      <c r="M332">
        <v>3</v>
      </c>
      <c r="N332">
        <v>10846</v>
      </c>
      <c r="O332" s="2">
        <v>5</v>
      </c>
      <c r="P332" s="2">
        <v>30911.1</v>
      </c>
      <c r="Q332" s="2">
        <v>25094.58</v>
      </c>
      <c r="R332" s="2">
        <v>5816.52</v>
      </c>
      <c r="S332" t="s">
        <v>62</v>
      </c>
      <c r="T332">
        <v>4</v>
      </c>
      <c r="U332" t="s">
        <v>51</v>
      </c>
      <c r="V332" t="s">
        <v>86</v>
      </c>
      <c r="W332" s="3">
        <f>Table1[[#This Row],[Profit]]/Table1[[#This Row],[Sales]]</f>
        <v>0.18816929840736826</v>
      </c>
      <c r="X332" t="str">
        <f>IF(Table1[[#This Row],[Sales]]&gt;=30000,"High Value",IF(Table1[[#This Row],[Sales]]&gt;=15000,"Medium Value","Low Value"))</f>
        <v>High Value</v>
      </c>
      <c r="Y332" t="str">
        <f>IF(Table1[[#This Row],[Quantity]]&gt;=3,"Bulk Order","Regular Order")</f>
        <v>Bulk Order</v>
      </c>
      <c r="Z332" t="str">
        <f>TEXT(Table1[[#This Row],[Order Date]],"dddd")</f>
        <v>Saturday</v>
      </c>
    </row>
    <row r="333" spans="1:26" ht="14.4" x14ac:dyDescent="0.3">
      <c r="A333" t="s">
        <v>935</v>
      </c>
      <c r="B333" t="s">
        <v>936</v>
      </c>
      <c r="C333" s="2">
        <v>46162</v>
      </c>
      <c r="D333" t="s">
        <v>28</v>
      </c>
      <c r="E333" t="s">
        <v>78</v>
      </c>
      <c r="F333" t="s">
        <v>316</v>
      </c>
      <c r="G333" t="s">
        <v>45</v>
      </c>
      <c r="H333" t="s">
        <v>46</v>
      </c>
      <c r="I333" t="s">
        <v>58</v>
      </c>
      <c r="J333" t="s">
        <v>47</v>
      </c>
      <c r="K333" t="s">
        <v>48</v>
      </c>
      <c r="L333" t="s">
        <v>49</v>
      </c>
      <c r="M333">
        <v>4</v>
      </c>
      <c r="N333">
        <v>7783</v>
      </c>
      <c r="O333" s="2">
        <v>10</v>
      </c>
      <c r="P333" s="2">
        <v>28018.799999999999</v>
      </c>
      <c r="Q333" s="2">
        <v>22810.44</v>
      </c>
      <c r="R333" s="2">
        <v>5208.3599999999997</v>
      </c>
      <c r="S333" t="s">
        <v>62</v>
      </c>
      <c r="T333">
        <v>5</v>
      </c>
      <c r="U333" t="s">
        <v>51</v>
      </c>
      <c r="V333" t="s">
        <v>75</v>
      </c>
      <c r="W333" s="3">
        <f>Table1[[#This Row],[Profit]]/Table1[[#This Row],[Sales]]</f>
        <v>0.18588804659728467</v>
      </c>
      <c r="X333" t="str">
        <f>IF(Table1[[#This Row],[Sales]]&gt;=30000,"High Value",IF(Table1[[#This Row],[Sales]]&gt;=15000,"Medium Value","Low Value"))</f>
        <v>Medium Value</v>
      </c>
      <c r="Y333" t="str">
        <f>IF(Table1[[#This Row],[Quantity]]&gt;=3,"Bulk Order","Regular Order")</f>
        <v>Bulk Order</v>
      </c>
      <c r="Z333" t="str">
        <f>TEXT(Table1[[#This Row],[Order Date]],"dddd")</f>
        <v>Wednesday</v>
      </c>
    </row>
    <row r="334" spans="1:26" ht="14.4" x14ac:dyDescent="0.3">
      <c r="A334" t="s">
        <v>937</v>
      </c>
      <c r="B334" t="s">
        <v>938</v>
      </c>
      <c r="C334" s="2">
        <v>46150</v>
      </c>
      <c r="D334" t="s">
        <v>28</v>
      </c>
      <c r="E334" t="s">
        <v>55</v>
      </c>
      <c r="F334" t="s">
        <v>873</v>
      </c>
      <c r="G334" t="s">
        <v>225</v>
      </c>
      <c r="H334" t="s">
        <v>32</v>
      </c>
      <c r="I334" t="s">
        <v>33</v>
      </c>
      <c r="J334" t="s">
        <v>59</v>
      </c>
      <c r="K334" t="s">
        <v>95</v>
      </c>
      <c r="L334" t="s">
        <v>36</v>
      </c>
      <c r="M334">
        <v>1</v>
      </c>
      <c r="N334">
        <v>15849</v>
      </c>
      <c r="O334" s="2">
        <v>5</v>
      </c>
      <c r="P334" s="2">
        <v>15056.55</v>
      </c>
      <c r="Q334" s="2">
        <v>11910.07</v>
      </c>
      <c r="R334" s="2">
        <v>3146.48</v>
      </c>
      <c r="S334" t="s">
        <v>81</v>
      </c>
      <c r="T334">
        <v>4</v>
      </c>
      <c r="U334" t="s">
        <v>51</v>
      </c>
      <c r="V334" t="s">
        <v>63</v>
      </c>
      <c r="W334" s="3">
        <f>Table1[[#This Row],[Profit]]/Table1[[#This Row],[Sales]]</f>
        <v>0.20897748820280876</v>
      </c>
      <c r="X334" t="str">
        <f>IF(Table1[[#This Row],[Sales]]&gt;=30000,"High Value",IF(Table1[[#This Row],[Sales]]&gt;=15000,"Medium Value","Low Value"))</f>
        <v>Medium Value</v>
      </c>
      <c r="Y334" t="str">
        <f>IF(Table1[[#This Row],[Quantity]]&gt;=3,"Bulk Order","Regular Order")</f>
        <v>Regular Order</v>
      </c>
      <c r="Z334" t="str">
        <f>TEXT(Table1[[#This Row],[Order Date]],"dddd")</f>
        <v>Friday</v>
      </c>
    </row>
    <row r="335" spans="1:26" ht="14.4" x14ac:dyDescent="0.3">
      <c r="A335" t="s">
        <v>939</v>
      </c>
      <c r="B335" t="s">
        <v>940</v>
      </c>
      <c r="C335" s="2">
        <v>46183</v>
      </c>
      <c r="D335" t="s">
        <v>42</v>
      </c>
      <c r="E335" t="s">
        <v>55</v>
      </c>
      <c r="F335" t="s">
        <v>395</v>
      </c>
      <c r="G335" t="s">
        <v>138</v>
      </c>
      <c r="H335" t="s">
        <v>32</v>
      </c>
      <c r="I335" t="s">
        <v>33</v>
      </c>
      <c r="J335" t="s">
        <v>47</v>
      </c>
      <c r="K335" t="s">
        <v>48</v>
      </c>
      <c r="L335" t="s">
        <v>49</v>
      </c>
      <c r="M335">
        <v>2</v>
      </c>
      <c r="N335">
        <v>8853</v>
      </c>
      <c r="O335" s="2">
        <v>0</v>
      </c>
      <c r="P335" s="2">
        <v>17706</v>
      </c>
      <c r="Q335" s="2">
        <v>13844.24</v>
      </c>
      <c r="R335" s="2">
        <v>3861.76</v>
      </c>
      <c r="S335" t="s">
        <v>81</v>
      </c>
      <c r="T335">
        <v>5</v>
      </c>
      <c r="U335" t="s">
        <v>51</v>
      </c>
      <c r="V335" t="s">
        <v>116</v>
      </c>
      <c r="W335" s="3">
        <f>Table1[[#This Row],[Profit]]/Table1[[#This Row],[Sales]]</f>
        <v>0.21810459731164578</v>
      </c>
      <c r="X335" t="str">
        <f>IF(Table1[[#This Row],[Sales]]&gt;=30000,"High Value",IF(Table1[[#This Row],[Sales]]&gt;=15000,"Medium Value","Low Value"))</f>
        <v>Medium Value</v>
      </c>
      <c r="Y335" t="str">
        <f>IF(Table1[[#This Row],[Quantity]]&gt;=3,"Bulk Order","Regular Order")</f>
        <v>Regular Order</v>
      </c>
      <c r="Z335" t="str">
        <f>TEXT(Table1[[#This Row],[Order Date]],"dddd")</f>
        <v>Wednesday</v>
      </c>
    </row>
    <row r="336" spans="1:26" ht="14.4" x14ac:dyDescent="0.3">
      <c r="A336" t="s">
        <v>941</v>
      </c>
      <c r="B336" t="s">
        <v>942</v>
      </c>
      <c r="C336" s="2">
        <v>46186</v>
      </c>
      <c r="D336" t="s">
        <v>42</v>
      </c>
      <c r="E336" t="s">
        <v>78</v>
      </c>
      <c r="F336" t="s">
        <v>93</v>
      </c>
      <c r="G336" t="s">
        <v>229</v>
      </c>
      <c r="H336" t="s">
        <v>32</v>
      </c>
      <c r="I336" t="s">
        <v>33</v>
      </c>
      <c r="J336" t="s">
        <v>34</v>
      </c>
      <c r="K336" t="s">
        <v>35</v>
      </c>
      <c r="L336" t="s">
        <v>36</v>
      </c>
      <c r="M336">
        <v>2</v>
      </c>
      <c r="N336">
        <v>12356</v>
      </c>
      <c r="O336" s="2">
        <v>10</v>
      </c>
      <c r="P336" s="2">
        <v>22240.799999999999</v>
      </c>
      <c r="Q336" s="2">
        <v>18153.86</v>
      </c>
      <c r="R336" s="2">
        <v>4086.94</v>
      </c>
      <c r="S336" t="s">
        <v>81</v>
      </c>
      <c r="T336">
        <v>4</v>
      </c>
      <c r="U336" t="s">
        <v>51</v>
      </c>
      <c r="V336" t="s">
        <v>86</v>
      </c>
      <c r="W336" s="3">
        <f>Table1[[#This Row],[Profit]]/Table1[[#This Row],[Sales]]</f>
        <v>0.18375867774540486</v>
      </c>
      <c r="X336" t="str">
        <f>IF(Table1[[#This Row],[Sales]]&gt;=30000,"High Value",IF(Table1[[#This Row],[Sales]]&gt;=15000,"Medium Value","Low Value"))</f>
        <v>Medium Value</v>
      </c>
      <c r="Y336" t="str">
        <f>IF(Table1[[#This Row],[Quantity]]&gt;=3,"Bulk Order","Regular Order")</f>
        <v>Regular Order</v>
      </c>
      <c r="Z336" t="str">
        <f>TEXT(Table1[[#This Row],[Order Date]],"dddd")</f>
        <v>Saturday</v>
      </c>
    </row>
    <row r="337" spans="1:26" ht="14.4" x14ac:dyDescent="0.3">
      <c r="A337" t="s">
        <v>943</v>
      </c>
      <c r="B337" t="s">
        <v>944</v>
      </c>
      <c r="C337" s="2">
        <v>46159</v>
      </c>
      <c r="D337" t="s">
        <v>28</v>
      </c>
      <c r="E337" t="s">
        <v>55</v>
      </c>
      <c r="F337" t="s">
        <v>945</v>
      </c>
      <c r="G337" t="s">
        <v>235</v>
      </c>
      <c r="H337" t="s">
        <v>46</v>
      </c>
      <c r="I337" t="s">
        <v>33</v>
      </c>
      <c r="J337" t="s">
        <v>47</v>
      </c>
      <c r="K337" t="s">
        <v>69</v>
      </c>
      <c r="L337" t="s">
        <v>70</v>
      </c>
      <c r="M337">
        <v>1</v>
      </c>
      <c r="N337">
        <v>8095</v>
      </c>
      <c r="O337" s="2">
        <v>0</v>
      </c>
      <c r="P337" s="2">
        <v>8095</v>
      </c>
      <c r="Q337" s="2">
        <v>6457.89</v>
      </c>
      <c r="R337" s="2">
        <v>1637.11</v>
      </c>
      <c r="S337" t="s">
        <v>81</v>
      </c>
      <c r="T337">
        <v>5</v>
      </c>
      <c r="U337" t="s">
        <v>51</v>
      </c>
      <c r="V337" t="s">
        <v>63</v>
      </c>
      <c r="W337" s="3">
        <f>Table1[[#This Row],[Profit]]/Table1[[#This Row],[Sales]]</f>
        <v>0.20223718344657193</v>
      </c>
      <c r="X337" t="str">
        <f>IF(Table1[[#This Row],[Sales]]&gt;=30000,"High Value",IF(Table1[[#This Row],[Sales]]&gt;=15000,"Medium Value","Low Value"))</f>
        <v>Low Value</v>
      </c>
      <c r="Y337" t="str">
        <f>IF(Table1[[#This Row],[Quantity]]&gt;=3,"Bulk Order","Regular Order")</f>
        <v>Regular Order</v>
      </c>
      <c r="Z337" t="str">
        <f>TEXT(Table1[[#This Row],[Order Date]],"dddd")</f>
        <v>Sunday</v>
      </c>
    </row>
    <row r="338" spans="1:26" ht="14.4" x14ac:dyDescent="0.3">
      <c r="A338" t="s">
        <v>946</v>
      </c>
      <c r="B338" t="s">
        <v>947</v>
      </c>
      <c r="C338" s="2">
        <v>46172</v>
      </c>
      <c r="D338" t="s">
        <v>28</v>
      </c>
      <c r="E338" t="s">
        <v>55</v>
      </c>
      <c r="F338" t="s">
        <v>537</v>
      </c>
      <c r="G338" t="s">
        <v>245</v>
      </c>
      <c r="H338" t="s">
        <v>46</v>
      </c>
      <c r="I338" t="s">
        <v>33</v>
      </c>
      <c r="J338" t="s">
        <v>169</v>
      </c>
      <c r="K338" t="s">
        <v>170</v>
      </c>
      <c r="L338" t="s">
        <v>171</v>
      </c>
      <c r="M338">
        <v>2</v>
      </c>
      <c r="N338">
        <v>10428</v>
      </c>
      <c r="O338" s="2">
        <v>0</v>
      </c>
      <c r="P338" s="2">
        <v>20856</v>
      </c>
      <c r="Q338" s="2">
        <v>16552.57</v>
      </c>
      <c r="R338" s="2">
        <v>4303.43</v>
      </c>
      <c r="S338" t="s">
        <v>37</v>
      </c>
      <c r="T338">
        <v>4</v>
      </c>
      <c r="U338" t="s">
        <v>51</v>
      </c>
      <c r="V338" t="s">
        <v>52</v>
      </c>
      <c r="W338" s="3">
        <f>Table1[[#This Row],[Profit]]/Table1[[#This Row],[Sales]]</f>
        <v>0.20634014192558497</v>
      </c>
      <c r="X338" t="str">
        <f>IF(Table1[[#This Row],[Sales]]&gt;=30000,"High Value",IF(Table1[[#This Row],[Sales]]&gt;=15000,"Medium Value","Low Value"))</f>
        <v>Medium Value</v>
      </c>
      <c r="Y338" t="str">
        <f>IF(Table1[[#This Row],[Quantity]]&gt;=3,"Bulk Order","Regular Order")</f>
        <v>Regular Order</v>
      </c>
      <c r="Z338" t="str">
        <f>TEXT(Table1[[#This Row],[Order Date]],"dddd")</f>
        <v>Saturday</v>
      </c>
    </row>
    <row r="339" spans="1:26" ht="14.4" x14ac:dyDescent="0.3">
      <c r="A339" t="s">
        <v>948</v>
      </c>
      <c r="B339" t="s">
        <v>949</v>
      </c>
      <c r="C339" s="2">
        <v>46157</v>
      </c>
      <c r="D339" t="s">
        <v>28</v>
      </c>
      <c r="E339" t="s">
        <v>55</v>
      </c>
      <c r="F339" t="s">
        <v>435</v>
      </c>
      <c r="G339" t="s">
        <v>225</v>
      </c>
      <c r="H339" t="s">
        <v>32</v>
      </c>
      <c r="I339" t="s">
        <v>58</v>
      </c>
      <c r="J339" t="s">
        <v>47</v>
      </c>
      <c r="K339" t="s">
        <v>69</v>
      </c>
      <c r="L339" t="s">
        <v>70</v>
      </c>
      <c r="M339">
        <v>3</v>
      </c>
      <c r="N339">
        <v>7969</v>
      </c>
      <c r="O339" s="2">
        <v>5</v>
      </c>
      <c r="P339" s="2">
        <v>22711.65</v>
      </c>
      <c r="Q339" s="2">
        <v>17973.310000000001</v>
      </c>
      <c r="R339" s="2">
        <v>4738.34</v>
      </c>
      <c r="S339" t="s">
        <v>37</v>
      </c>
      <c r="T339">
        <v>3</v>
      </c>
      <c r="U339" t="s">
        <v>51</v>
      </c>
      <c r="V339" t="s">
        <v>39</v>
      </c>
      <c r="W339" s="3">
        <f>Table1[[#This Row],[Profit]]/Table1[[#This Row],[Sales]]</f>
        <v>0.2086303725180689</v>
      </c>
      <c r="X339" t="str">
        <f>IF(Table1[[#This Row],[Sales]]&gt;=30000,"High Value",IF(Table1[[#This Row],[Sales]]&gt;=15000,"Medium Value","Low Value"))</f>
        <v>Medium Value</v>
      </c>
      <c r="Y339" t="str">
        <f>IF(Table1[[#This Row],[Quantity]]&gt;=3,"Bulk Order","Regular Order")</f>
        <v>Bulk Order</v>
      </c>
      <c r="Z339" t="str">
        <f>TEXT(Table1[[#This Row],[Order Date]],"dddd")</f>
        <v>Friday</v>
      </c>
    </row>
    <row r="340" spans="1:26" ht="14.4" x14ac:dyDescent="0.3">
      <c r="A340" t="s">
        <v>950</v>
      </c>
      <c r="B340" t="s">
        <v>951</v>
      </c>
      <c r="C340" s="2">
        <v>46179</v>
      </c>
      <c r="D340" t="s">
        <v>42</v>
      </c>
      <c r="E340" t="s">
        <v>55</v>
      </c>
      <c r="F340" t="s">
        <v>952</v>
      </c>
      <c r="G340" t="s">
        <v>134</v>
      </c>
      <c r="H340" t="s">
        <v>46</v>
      </c>
      <c r="I340" t="s">
        <v>33</v>
      </c>
      <c r="J340" t="s">
        <v>59</v>
      </c>
      <c r="K340" t="s">
        <v>95</v>
      </c>
      <c r="L340" t="s">
        <v>36</v>
      </c>
      <c r="M340">
        <v>1</v>
      </c>
      <c r="N340">
        <v>15785</v>
      </c>
      <c r="O340" s="2">
        <v>5</v>
      </c>
      <c r="P340" s="2">
        <v>14995.75</v>
      </c>
      <c r="Q340" s="2">
        <v>11992.3</v>
      </c>
      <c r="R340" s="2">
        <v>3003.45</v>
      </c>
      <c r="S340" t="s">
        <v>50</v>
      </c>
      <c r="T340">
        <v>4</v>
      </c>
      <c r="U340" t="s">
        <v>51</v>
      </c>
      <c r="V340" t="s">
        <v>86</v>
      </c>
      <c r="W340" s="3">
        <f>Table1[[#This Row],[Profit]]/Table1[[#This Row],[Sales]]</f>
        <v>0.20028674791190837</v>
      </c>
      <c r="X340" t="str">
        <f>IF(Table1[[#This Row],[Sales]]&gt;=30000,"High Value",IF(Table1[[#This Row],[Sales]]&gt;=15000,"Medium Value","Low Value"))</f>
        <v>Low Value</v>
      </c>
      <c r="Y340" t="str">
        <f>IF(Table1[[#This Row],[Quantity]]&gt;=3,"Bulk Order","Regular Order")</f>
        <v>Regular Order</v>
      </c>
      <c r="Z340" t="str">
        <f>TEXT(Table1[[#This Row],[Order Date]],"dddd")</f>
        <v>Saturday</v>
      </c>
    </row>
    <row r="341" spans="1:26" ht="14.4" x14ac:dyDescent="0.3">
      <c r="A341" t="s">
        <v>953</v>
      </c>
      <c r="B341" t="s">
        <v>954</v>
      </c>
      <c r="C341" s="2">
        <v>46199</v>
      </c>
      <c r="D341" t="s">
        <v>42</v>
      </c>
      <c r="E341" t="s">
        <v>133</v>
      </c>
      <c r="F341" t="s">
        <v>98</v>
      </c>
      <c r="G341" t="s">
        <v>417</v>
      </c>
      <c r="H341" t="s">
        <v>46</v>
      </c>
      <c r="I341" t="s">
        <v>33</v>
      </c>
      <c r="J341" t="s">
        <v>59</v>
      </c>
      <c r="K341" t="s">
        <v>60</v>
      </c>
      <c r="L341" t="s">
        <v>61</v>
      </c>
      <c r="M341">
        <v>2</v>
      </c>
      <c r="N341">
        <v>17996</v>
      </c>
      <c r="O341" s="2">
        <v>10</v>
      </c>
      <c r="P341" s="2">
        <v>32392.799999999999</v>
      </c>
      <c r="Q341" s="2">
        <v>26088.54</v>
      </c>
      <c r="R341" s="2">
        <v>6304.26</v>
      </c>
      <c r="S341" t="s">
        <v>81</v>
      </c>
      <c r="T341">
        <v>5</v>
      </c>
      <c r="U341" t="s">
        <v>51</v>
      </c>
      <c r="V341" t="s">
        <v>116</v>
      </c>
      <c r="W341" s="3">
        <f>Table1[[#This Row],[Profit]]/Table1[[#This Row],[Sales]]</f>
        <v>0.19461917463139958</v>
      </c>
      <c r="X341" t="str">
        <f>IF(Table1[[#This Row],[Sales]]&gt;=30000,"High Value",IF(Table1[[#This Row],[Sales]]&gt;=15000,"Medium Value","Low Value"))</f>
        <v>High Value</v>
      </c>
      <c r="Y341" t="str">
        <f>IF(Table1[[#This Row],[Quantity]]&gt;=3,"Bulk Order","Regular Order")</f>
        <v>Regular Order</v>
      </c>
      <c r="Z341" t="str">
        <f>TEXT(Table1[[#This Row],[Order Date]],"dddd")</f>
        <v>Friday</v>
      </c>
    </row>
    <row r="342" spans="1:26" ht="14.4" x14ac:dyDescent="0.3">
      <c r="A342" t="s">
        <v>955</v>
      </c>
      <c r="B342" t="s">
        <v>956</v>
      </c>
      <c r="C342" s="2">
        <v>46185</v>
      </c>
      <c r="D342" t="s">
        <v>42</v>
      </c>
      <c r="E342" t="s">
        <v>78</v>
      </c>
      <c r="F342" t="s">
        <v>537</v>
      </c>
      <c r="G342" t="s">
        <v>322</v>
      </c>
      <c r="H342" t="s">
        <v>32</v>
      </c>
      <c r="I342" t="s">
        <v>33</v>
      </c>
      <c r="J342" t="s">
        <v>47</v>
      </c>
      <c r="K342" t="s">
        <v>69</v>
      </c>
      <c r="L342" t="s">
        <v>70</v>
      </c>
      <c r="M342">
        <v>1</v>
      </c>
      <c r="N342">
        <v>9405</v>
      </c>
      <c r="O342" s="2">
        <v>0</v>
      </c>
      <c r="P342" s="2">
        <v>9405</v>
      </c>
      <c r="Q342" s="2">
        <v>7590.06</v>
      </c>
      <c r="R342" s="2">
        <v>1814.94</v>
      </c>
      <c r="S342" t="s">
        <v>37</v>
      </c>
      <c r="T342">
        <v>5</v>
      </c>
      <c r="U342" t="s">
        <v>51</v>
      </c>
      <c r="V342" t="s">
        <v>63</v>
      </c>
      <c r="W342" s="3">
        <f>Table1[[#This Row],[Profit]]/Table1[[#This Row],[Sales]]</f>
        <v>0.19297607655502394</v>
      </c>
      <c r="X342" t="str">
        <f>IF(Table1[[#This Row],[Sales]]&gt;=30000,"High Value",IF(Table1[[#This Row],[Sales]]&gt;=15000,"Medium Value","Low Value"))</f>
        <v>Low Value</v>
      </c>
      <c r="Y342" t="str">
        <f>IF(Table1[[#This Row],[Quantity]]&gt;=3,"Bulk Order","Regular Order")</f>
        <v>Regular Order</v>
      </c>
      <c r="Z342" t="str">
        <f>TEXT(Table1[[#This Row],[Order Date]],"dddd")</f>
        <v>Friday</v>
      </c>
    </row>
    <row r="343" spans="1:26" ht="14.4" x14ac:dyDescent="0.3">
      <c r="A343" t="s">
        <v>957</v>
      </c>
      <c r="B343" t="s">
        <v>958</v>
      </c>
      <c r="C343" s="2">
        <v>46193</v>
      </c>
      <c r="D343" t="s">
        <v>42</v>
      </c>
      <c r="E343" t="s">
        <v>78</v>
      </c>
      <c r="F343" t="s">
        <v>325</v>
      </c>
      <c r="G343" t="s">
        <v>523</v>
      </c>
      <c r="H343" t="s">
        <v>46</v>
      </c>
      <c r="I343" t="s">
        <v>33</v>
      </c>
      <c r="J343" t="s">
        <v>128</v>
      </c>
      <c r="K343" t="s">
        <v>129</v>
      </c>
      <c r="L343" t="s">
        <v>130</v>
      </c>
      <c r="M343">
        <v>2</v>
      </c>
      <c r="N343">
        <v>1366</v>
      </c>
      <c r="O343" s="2">
        <v>5</v>
      </c>
      <c r="P343" s="2">
        <v>2595.4</v>
      </c>
      <c r="Q343" s="2">
        <v>1717.85</v>
      </c>
      <c r="R343" s="2">
        <v>877.55</v>
      </c>
      <c r="S343" t="s">
        <v>37</v>
      </c>
      <c r="T343">
        <v>5</v>
      </c>
      <c r="U343" t="s">
        <v>51</v>
      </c>
      <c r="V343" t="s">
        <v>86</v>
      </c>
      <c r="W343" s="3">
        <f>Table1[[#This Row],[Profit]]/Table1[[#This Row],[Sales]]</f>
        <v>0.33811743854511828</v>
      </c>
      <c r="X343" t="str">
        <f>IF(Table1[[#This Row],[Sales]]&gt;=30000,"High Value",IF(Table1[[#This Row],[Sales]]&gt;=15000,"Medium Value","Low Value"))</f>
        <v>Low Value</v>
      </c>
      <c r="Y343" t="str">
        <f>IF(Table1[[#This Row],[Quantity]]&gt;=3,"Bulk Order","Regular Order")</f>
        <v>Regular Order</v>
      </c>
      <c r="Z343" t="str">
        <f>TEXT(Table1[[#This Row],[Order Date]],"dddd")</f>
        <v>Saturday</v>
      </c>
    </row>
    <row r="344" spans="1:26" ht="14.4" x14ac:dyDescent="0.3">
      <c r="A344" t="s">
        <v>959</v>
      </c>
      <c r="B344" t="s">
        <v>960</v>
      </c>
      <c r="C344" s="2">
        <v>46187</v>
      </c>
      <c r="D344" t="s">
        <v>42</v>
      </c>
      <c r="E344" t="s">
        <v>43</v>
      </c>
      <c r="F344" t="s">
        <v>945</v>
      </c>
      <c r="G344" t="s">
        <v>218</v>
      </c>
      <c r="H344" t="s">
        <v>46</v>
      </c>
      <c r="I344" t="s">
        <v>33</v>
      </c>
      <c r="J344" t="s">
        <v>34</v>
      </c>
      <c r="K344" t="s">
        <v>35</v>
      </c>
      <c r="L344" t="s">
        <v>36</v>
      </c>
      <c r="M344">
        <v>2</v>
      </c>
      <c r="N344">
        <v>13041</v>
      </c>
      <c r="O344" s="2">
        <v>0</v>
      </c>
      <c r="P344" s="2">
        <v>26082</v>
      </c>
      <c r="Q344" s="2">
        <v>20925.68</v>
      </c>
      <c r="R344" s="2">
        <v>5156.32</v>
      </c>
      <c r="S344" t="s">
        <v>81</v>
      </c>
      <c r="T344">
        <v>4</v>
      </c>
      <c r="U344" t="s">
        <v>51</v>
      </c>
      <c r="V344" t="s">
        <v>39</v>
      </c>
      <c r="W344" s="3">
        <f>Table1[[#This Row],[Profit]]/Table1[[#This Row],[Sales]]</f>
        <v>0.19769649566751016</v>
      </c>
      <c r="X344" t="str">
        <f>IF(Table1[[#This Row],[Sales]]&gt;=30000,"High Value",IF(Table1[[#This Row],[Sales]]&gt;=15000,"Medium Value","Low Value"))</f>
        <v>Medium Value</v>
      </c>
      <c r="Y344" t="str">
        <f>IF(Table1[[#This Row],[Quantity]]&gt;=3,"Bulk Order","Regular Order")</f>
        <v>Regular Order</v>
      </c>
      <c r="Z344" t="str">
        <f>TEXT(Table1[[#This Row],[Order Date]],"dddd")</f>
        <v>Sunday</v>
      </c>
    </row>
    <row r="345" spans="1:26" ht="14.4" x14ac:dyDescent="0.3">
      <c r="A345" t="s">
        <v>961</v>
      </c>
      <c r="B345" t="s">
        <v>962</v>
      </c>
      <c r="C345" s="2">
        <v>46203</v>
      </c>
      <c r="D345" t="s">
        <v>42</v>
      </c>
      <c r="E345" t="s">
        <v>78</v>
      </c>
      <c r="F345" t="s">
        <v>56</v>
      </c>
      <c r="G345" t="s">
        <v>94</v>
      </c>
      <c r="H345" t="s">
        <v>46</v>
      </c>
      <c r="I345" t="s">
        <v>33</v>
      </c>
      <c r="J345" t="s">
        <v>169</v>
      </c>
      <c r="K345" t="s">
        <v>170</v>
      </c>
      <c r="L345" t="s">
        <v>171</v>
      </c>
      <c r="M345">
        <v>1</v>
      </c>
      <c r="N345">
        <v>9569</v>
      </c>
      <c r="O345" s="2">
        <v>0</v>
      </c>
      <c r="P345" s="2">
        <v>9569</v>
      </c>
      <c r="Q345" s="2">
        <v>7514.49</v>
      </c>
      <c r="R345" s="2">
        <v>2054.5100000000002</v>
      </c>
      <c r="S345" t="s">
        <v>37</v>
      </c>
      <c r="T345">
        <v>5</v>
      </c>
      <c r="U345" t="s">
        <v>51</v>
      </c>
      <c r="V345" t="s">
        <v>63</v>
      </c>
      <c r="W345" s="3">
        <f>Table1[[#This Row],[Profit]]/Table1[[#This Row],[Sales]]</f>
        <v>0.21470477583864564</v>
      </c>
      <c r="X345" t="str">
        <f>IF(Table1[[#This Row],[Sales]]&gt;=30000,"High Value",IF(Table1[[#This Row],[Sales]]&gt;=15000,"Medium Value","Low Value"))</f>
        <v>Low Value</v>
      </c>
      <c r="Y345" t="str">
        <f>IF(Table1[[#This Row],[Quantity]]&gt;=3,"Bulk Order","Regular Order")</f>
        <v>Regular Order</v>
      </c>
      <c r="Z345" t="str">
        <f>TEXT(Table1[[#This Row],[Order Date]],"dddd")</f>
        <v>Tuesday</v>
      </c>
    </row>
    <row r="346" spans="1:26" ht="14.4" x14ac:dyDescent="0.3">
      <c r="A346" t="s">
        <v>963</v>
      </c>
      <c r="B346" t="s">
        <v>964</v>
      </c>
      <c r="C346" s="2">
        <v>46194</v>
      </c>
      <c r="D346" t="s">
        <v>42</v>
      </c>
      <c r="E346" t="s">
        <v>66</v>
      </c>
      <c r="F346" t="s">
        <v>663</v>
      </c>
      <c r="G346" t="s">
        <v>239</v>
      </c>
      <c r="H346" t="s">
        <v>46</v>
      </c>
      <c r="I346" t="s">
        <v>33</v>
      </c>
      <c r="J346" t="s">
        <v>59</v>
      </c>
      <c r="K346" t="s">
        <v>60</v>
      </c>
      <c r="L346" t="s">
        <v>61</v>
      </c>
      <c r="M346">
        <v>1</v>
      </c>
      <c r="N346">
        <v>17827</v>
      </c>
      <c r="O346" s="2">
        <v>10</v>
      </c>
      <c r="P346" s="2">
        <v>16044.3</v>
      </c>
      <c r="Q346" s="2">
        <v>12993.79</v>
      </c>
      <c r="R346" s="2">
        <v>3050.51</v>
      </c>
      <c r="S346" t="s">
        <v>37</v>
      </c>
      <c r="T346">
        <v>4</v>
      </c>
      <c r="U346" t="s">
        <v>51</v>
      </c>
      <c r="V346" t="s">
        <v>86</v>
      </c>
      <c r="W346" s="3">
        <f>Table1[[#This Row],[Profit]]/Table1[[#This Row],[Sales]]</f>
        <v>0.19013045131292736</v>
      </c>
      <c r="X346" t="str">
        <f>IF(Table1[[#This Row],[Sales]]&gt;=30000,"High Value",IF(Table1[[#This Row],[Sales]]&gt;=15000,"Medium Value","Low Value"))</f>
        <v>Medium Value</v>
      </c>
      <c r="Y346" t="str">
        <f>IF(Table1[[#This Row],[Quantity]]&gt;=3,"Bulk Order","Regular Order")</f>
        <v>Regular Order</v>
      </c>
      <c r="Z346" t="str">
        <f>TEXT(Table1[[#This Row],[Order Date]],"dddd")</f>
        <v>Sunday</v>
      </c>
    </row>
    <row r="347" spans="1:26" ht="14.4" x14ac:dyDescent="0.3">
      <c r="A347" t="s">
        <v>965</v>
      </c>
      <c r="B347" t="s">
        <v>966</v>
      </c>
      <c r="C347" s="2">
        <v>46149</v>
      </c>
      <c r="D347" t="s">
        <v>28</v>
      </c>
      <c r="E347" t="s">
        <v>66</v>
      </c>
      <c r="F347" t="s">
        <v>923</v>
      </c>
      <c r="G347" t="s">
        <v>311</v>
      </c>
      <c r="H347" t="s">
        <v>46</v>
      </c>
      <c r="I347" t="s">
        <v>58</v>
      </c>
      <c r="J347" t="s">
        <v>47</v>
      </c>
      <c r="K347" t="s">
        <v>48</v>
      </c>
      <c r="L347" t="s">
        <v>49</v>
      </c>
      <c r="M347">
        <v>5</v>
      </c>
      <c r="N347">
        <v>7635</v>
      </c>
      <c r="O347" s="2">
        <v>5</v>
      </c>
      <c r="P347" s="2">
        <v>36266.25</v>
      </c>
      <c r="Q347" s="2">
        <v>29196.880000000001</v>
      </c>
      <c r="R347" s="2">
        <v>7069.37</v>
      </c>
      <c r="S347" t="s">
        <v>81</v>
      </c>
      <c r="T347">
        <v>5</v>
      </c>
      <c r="U347" t="s">
        <v>51</v>
      </c>
      <c r="V347" t="s">
        <v>52</v>
      </c>
      <c r="W347" s="3">
        <f>Table1[[#This Row],[Profit]]/Table1[[#This Row],[Sales]]</f>
        <v>0.19492972115948023</v>
      </c>
      <c r="X347" t="str">
        <f>IF(Table1[[#This Row],[Sales]]&gt;=30000,"High Value",IF(Table1[[#This Row],[Sales]]&gt;=15000,"Medium Value","Low Value"))</f>
        <v>High Value</v>
      </c>
      <c r="Y347" t="str">
        <f>IF(Table1[[#This Row],[Quantity]]&gt;=3,"Bulk Order","Regular Order")</f>
        <v>Bulk Order</v>
      </c>
      <c r="Z347" t="str">
        <f>TEXT(Table1[[#This Row],[Order Date]],"dddd")</f>
        <v>Thursday</v>
      </c>
    </row>
    <row r="348" spans="1:26" ht="14.4" x14ac:dyDescent="0.3">
      <c r="A348" t="s">
        <v>967</v>
      </c>
      <c r="B348" t="s">
        <v>968</v>
      </c>
      <c r="C348" s="2">
        <v>46147</v>
      </c>
      <c r="D348" t="s">
        <v>28</v>
      </c>
      <c r="E348" t="s">
        <v>66</v>
      </c>
      <c r="F348" t="s">
        <v>181</v>
      </c>
      <c r="G348" t="s">
        <v>286</v>
      </c>
      <c r="H348" t="s">
        <v>46</v>
      </c>
      <c r="I348" t="s">
        <v>33</v>
      </c>
      <c r="J348" t="s">
        <v>47</v>
      </c>
      <c r="K348" t="s">
        <v>48</v>
      </c>
      <c r="L348" t="s">
        <v>49</v>
      </c>
      <c r="M348">
        <v>2</v>
      </c>
      <c r="N348">
        <v>7188</v>
      </c>
      <c r="O348" s="2">
        <v>15</v>
      </c>
      <c r="P348" s="2">
        <v>12219.6</v>
      </c>
      <c r="Q348" s="2">
        <v>9904.2099999999991</v>
      </c>
      <c r="R348" s="2">
        <v>2315.39</v>
      </c>
      <c r="S348" t="s">
        <v>37</v>
      </c>
      <c r="T348">
        <v>5</v>
      </c>
      <c r="U348" t="s">
        <v>51</v>
      </c>
      <c r="V348" t="s">
        <v>116</v>
      </c>
      <c r="W348" s="3">
        <f>Table1[[#This Row],[Profit]]/Table1[[#This Row],[Sales]]</f>
        <v>0.18948165242724802</v>
      </c>
      <c r="X348" t="str">
        <f>IF(Table1[[#This Row],[Sales]]&gt;=30000,"High Value",IF(Table1[[#This Row],[Sales]]&gt;=15000,"Medium Value","Low Value"))</f>
        <v>Low Value</v>
      </c>
      <c r="Y348" t="str">
        <f>IF(Table1[[#This Row],[Quantity]]&gt;=3,"Bulk Order","Regular Order")</f>
        <v>Regular Order</v>
      </c>
      <c r="Z348" t="str">
        <f>TEXT(Table1[[#This Row],[Order Date]],"dddd")</f>
        <v>Tuesday</v>
      </c>
    </row>
    <row r="349" spans="1:26" ht="14.4" x14ac:dyDescent="0.3">
      <c r="A349" t="s">
        <v>969</v>
      </c>
      <c r="B349" t="s">
        <v>970</v>
      </c>
      <c r="C349" s="2">
        <v>46171</v>
      </c>
      <c r="D349" t="s">
        <v>28</v>
      </c>
      <c r="E349" t="s">
        <v>78</v>
      </c>
      <c r="F349" t="s">
        <v>581</v>
      </c>
      <c r="G349" t="s">
        <v>211</v>
      </c>
      <c r="H349" t="s">
        <v>32</v>
      </c>
      <c r="I349" t="s">
        <v>58</v>
      </c>
      <c r="J349" t="s">
        <v>59</v>
      </c>
      <c r="K349" t="s">
        <v>60</v>
      </c>
      <c r="L349" t="s">
        <v>61</v>
      </c>
      <c r="M349">
        <v>4</v>
      </c>
      <c r="N349">
        <v>17399</v>
      </c>
      <c r="O349" s="2">
        <v>10</v>
      </c>
      <c r="P349" s="2">
        <v>62636.4</v>
      </c>
      <c r="Q349" s="2">
        <v>48912.71</v>
      </c>
      <c r="R349" s="2">
        <v>13723.69</v>
      </c>
      <c r="S349" t="s">
        <v>50</v>
      </c>
      <c r="T349">
        <v>4</v>
      </c>
      <c r="U349" t="s">
        <v>51</v>
      </c>
      <c r="V349" t="s">
        <v>39</v>
      </c>
      <c r="W349" s="3">
        <f>Table1[[#This Row],[Profit]]/Table1[[#This Row],[Sales]]</f>
        <v>0.21910087425203237</v>
      </c>
      <c r="X349" t="str">
        <f>IF(Table1[[#This Row],[Sales]]&gt;=30000,"High Value",IF(Table1[[#This Row],[Sales]]&gt;=15000,"Medium Value","Low Value"))</f>
        <v>High Value</v>
      </c>
      <c r="Y349" t="str">
        <f>IF(Table1[[#This Row],[Quantity]]&gt;=3,"Bulk Order","Regular Order")</f>
        <v>Bulk Order</v>
      </c>
      <c r="Z349" t="str">
        <f>TEXT(Table1[[#This Row],[Order Date]],"dddd")</f>
        <v>Friday</v>
      </c>
    </row>
    <row r="350" spans="1:26" ht="14.4" x14ac:dyDescent="0.3">
      <c r="A350" t="s">
        <v>971</v>
      </c>
      <c r="B350" t="s">
        <v>972</v>
      </c>
      <c r="C350" s="2">
        <v>46200</v>
      </c>
      <c r="D350" t="s">
        <v>42</v>
      </c>
      <c r="E350" t="s">
        <v>66</v>
      </c>
      <c r="F350" t="s">
        <v>282</v>
      </c>
      <c r="G350" t="s">
        <v>45</v>
      </c>
      <c r="H350" t="s">
        <v>46</v>
      </c>
      <c r="I350" t="s">
        <v>58</v>
      </c>
      <c r="J350" t="s">
        <v>128</v>
      </c>
      <c r="K350" t="s">
        <v>129</v>
      </c>
      <c r="L350" t="s">
        <v>130</v>
      </c>
      <c r="M350">
        <v>4</v>
      </c>
      <c r="N350">
        <v>1756</v>
      </c>
      <c r="O350" s="2">
        <v>5</v>
      </c>
      <c r="P350" s="2">
        <v>6672.8</v>
      </c>
      <c r="Q350" s="2">
        <v>3967.72</v>
      </c>
      <c r="R350" s="2">
        <v>2705.08</v>
      </c>
      <c r="S350" t="s">
        <v>37</v>
      </c>
      <c r="T350">
        <v>5</v>
      </c>
      <c r="U350" t="s">
        <v>51</v>
      </c>
      <c r="V350" t="s">
        <v>39</v>
      </c>
      <c r="W350" s="3">
        <f>Table1[[#This Row],[Profit]]/Table1[[#This Row],[Sales]]</f>
        <v>0.40538904208128518</v>
      </c>
      <c r="X350" t="str">
        <f>IF(Table1[[#This Row],[Sales]]&gt;=30000,"High Value",IF(Table1[[#This Row],[Sales]]&gt;=15000,"Medium Value","Low Value"))</f>
        <v>Low Value</v>
      </c>
      <c r="Y350" t="str">
        <f>IF(Table1[[#This Row],[Quantity]]&gt;=3,"Bulk Order","Regular Order")</f>
        <v>Bulk Order</v>
      </c>
      <c r="Z350" t="str">
        <f>TEXT(Table1[[#This Row],[Order Date]],"dddd")</f>
        <v>Saturday</v>
      </c>
    </row>
    <row r="351" spans="1:26" ht="14.4" x14ac:dyDescent="0.3">
      <c r="A351" t="s">
        <v>973</v>
      </c>
      <c r="B351" t="s">
        <v>974</v>
      </c>
      <c r="C351" s="2">
        <v>46143</v>
      </c>
      <c r="D351" t="s">
        <v>28</v>
      </c>
      <c r="E351" t="s">
        <v>43</v>
      </c>
      <c r="F351" t="s">
        <v>685</v>
      </c>
      <c r="G351" t="s">
        <v>389</v>
      </c>
      <c r="H351" t="s">
        <v>46</v>
      </c>
      <c r="I351" t="s">
        <v>33</v>
      </c>
      <c r="J351" t="s">
        <v>59</v>
      </c>
      <c r="K351" t="s">
        <v>95</v>
      </c>
      <c r="L351" t="s">
        <v>36</v>
      </c>
      <c r="M351">
        <v>2</v>
      </c>
      <c r="N351">
        <v>16739</v>
      </c>
      <c r="O351" s="2">
        <v>10</v>
      </c>
      <c r="P351" s="2">
        <v>30130.2</v>
      </c>
      <c r="Q351" s="2">
        <v>23832.63</v>
      </c>
      <c r="R351" s="2">
        <v>6297.57</v>
      </c>
      <c r="S351" t="s">
        <v>50</v>
      </c>
      <c r="T351">
        <v>5</v>
      </c>
      <c r="U351" t="s">
        <v>51</v>
      </c>
      <c r="V351" t="s">
        <v>116</v>
      </c>
      <c r="W351" s="3">
        <f>Table1[[#This Row],[Profit]]/Table1[[#This Row],[Sales]]</f>
        <v>0.20901188840432522</v>
      </c>
      <c r="X351" t="str">
        <f>IF(Table1[[#This Row],[Sales]]&gt;=30000,"High Value",IF(Table1[[#This Row],[Sales]]&gt;=15000,"Medium Value","Low Value"))</f>
        <v>High Value</v>
      </c>
      <c r="Y351" t="str">
        <f>IF(Table1[[#This Row],[Quantity]]&gt;=3,"Bulk Order","Regular Order")</f>
        <v>Regular Order</v>
      </c>
      <c r="Z351" t="str">
        <f>TEXT(Table1[[#This Row],[Order Date]],"dddd")</f>
        <v>Friday</v>
      </c>
    </row>
    <row r="352" spans="1:26" ht="14.4" x14ac:dyDescent="0.3">
      <c r="A352" t="s">
        <v>975</v>
      </c>
      <c r="B352" t="s">
        <v>976</v>
      </c>
      <c r="C352" s="2">
        <v>46144</v>
      </c>
      <c r="D352" t="s">
        <v>28</v>
      </c>
      <c r="E352" t="s">
        <v>78</v>
      </c>
      <c r="F352" t="s">
        <v>977</v>
      </c>
      <c r="G352" t="s">
        <v>389</v>
      </c>
      <c r="H352" t="s">
        <v>46</v>
      </c>
      <c r="I352" t="s">
        <v>33</v>
      </c>
      <c r="J352" t="s">
        <v>169</v>
      </c>
      <c r="K352" t="s">
        <v>170</v>
      </c>
      <c r="L352" t="s">
        <v>171</v>
      </c>
      <c r="M352">
        <v>2</v>
      </c>
      <c r="N352">
        <v>10070</v>
      </c>
      <c r="O352" s="2">
        <v>10</v>
      </c>
      <c r="P352" s="2">
        <v>18126</v>
      </c>
      <c r="Q352" s="2">
        <v>14563.33</v>
      </c>
      <c r="R352" s="2">
        <v>3562.67</v>
      </c>
      <c r="S352" t="s">
        <v>37</v>
      </c>
      <c r="T352">
        <v>4</v>
      </c>
      <c r="U352" t="s">
        <v>51</v>
      </c>
      <c r="V352" t="s">
        <v>63</v>
      </c>
      <c r="W352" s="3">
        <f>Table1[[#This Row],[Profit]]/Table1[[#This Row],[Sales]]</f>
        <v>0.19655025929603884</v>
      </c>
      <c r="X352" t="str">
        <f>IF(Table1[[#This Row],[Sales]]&gt;=30000,"High Value",IF(Table1[[#This Row],[Sales]]&gt;=15000,"Medium Value","Low Value"))</f>
        <v>Medium Value</v>
      </c>
      <c r="Y352" t="str">
        <f>IF(Table1[[#This Row],[Quantity]]&gt;=3,"Bulk Order","Regular Order")</f>
        <v>Regular Order</v>
      </c>
      <c r="Z352" t="str">
        <f>TEXT(Table1[[#This Row],[Order Date]],"dddd")</f>
        <v>Saturday</v>
      </c>
    </row>
    <row r="353" spans="1:26" ht="14.4" x14ac:dyDescent="0.3">
      <c r="A353" t="s">
        <v>978</v>
      </c>
      <c r="B353" t="s">
        <v>979</v>
      </c>
      <c r="C353" s="2">
        <v>46181</v>
      </c>
      <c r="D353" t="s">
        <v>42</v>
      </c>
      <c r="E353" t="s">
        <v>55</v>
      </c>
      <c r="F353" t="s">
        <v>509</v>
      </c>
      <c r="G353" t="s">
        <v>239</v>
      </c>
      <c r="H353" t="s">
        <v>46</v>
      </c>
      <c r="I353" t="s">
        <v>58</v>
      </c>
      <c r="J353" t="s">
        <v>169</v>
      </c>
      <c r="K353" t="s">
        <v>170</v>
      </c>
      <c r="L353" t="s">
        <v>171</v>
      </c>
      <c r="M353">
        <v>3</v>
      </c>
      <c r="N353">
        <v>9160</v>
      </c>
      <c r="O353" s="2">
        <v>15</v>
      </c>
      <c r="P353" s="2">
        <v>23358</v>
      </c>
      <c r="Q353" s="2">
        <v>18220.16</v>
      </c>
      <c r="R353" s="2">
        <v>5137.84</v>
      </c>
      <c r="S353" t="s">
        <v>37</v>
      </c>
      <c r="T353">
        <v>5</v>
      </c>
      <c r="U353" t="s">
        <v>51</v>
      </c>
      <c r="V353" t="s">
        <v>86</v>
      </c>
      <c r="W353" s="3">
        <f>Table1[[#This Row],[Profit]]/Table1[[#This Row],[Sales]]</f>
        <v>0.21996061306618717</v>
      </c>
      <c r="X353" t="str">
        <f>IF(Table1[[#This Row],[Sales]]&gt;=30000,"High Value",IF(Table1[[#This Row],[Sales]]&gt;=15000,"Medium Value","Low Value"))</f>
        <v>Medium Value</v>
      </c>
      <c r="Y353" t="str">
        <f>IF(Table1[[#This Row],[Quantity]]&gt;=3,"Bulk Order","Regular Order")</f>
        <v>Bulk Order</v>
      </c>
      <c r="Z353" t="str">
        <f>TEXT(Table1[[#This Row],[Order Date]],"dddd")</f>
        <v>Monday</v>
      </c>
    </row>
    <row r="354" spans="1:26" ht="14.4" x14ac:dyDescent="0.3">
      <c r="A354" t="s">
        <v>980</v>
      </c>
      <c r="B354" t="s">
        <v>981</v>
      </c>
      <c r="C354" s="2">
        <v>46175</v>
      </c>
      <c r="D354" t="s">
        <v>42</v>
      </c>
      <c r="E354" t="s">
        <v>43</v>
      </c>
      <c r="F354" t="s">
        <v>366</v>
      </c>
      <c r="G354" t="s">
        <v>138</v>
      </c>
      <c r="H354" t="s">
        <v>32</v>
      </c>
      <c r="I354" t="s">
        <v>33</v>
      </c>
      <c r="J354" t="s">
        <v>169</v>
      </c>
      <c r="K354" t="s">
        <v>170</v>
      </c>
      <c r="L354" t="s">
        <v>171</v>
      </c>
      <c r="M354">
        <v>1</v>
      </c>
      <c r="N354">
        <v>11410</v>
      </c>
      <c r="O354" s="2">
        <v>0</v>
      </c>
      <c r="P354" s="2">
        <v>11410</v>
      </c>
      <c r="Q354" s="2">
        <v>9325.65</v>
      </c>
      <c r="R354" s="2">
        <v>2084.35</v>
      </c>
      <c r="S354" t="s">
        <v>81</v>
      </c>
      <c r="T354">
        <v>5</v>
      </c>
      <c r="U354" t="s">
        <v>51</v>
      </c>
      <c r="V354" t="s">
        <v>116</v>
      </c>
      <c r="W354" s="3">
        <f>Table1[[#This Row],[Profit]]/Table1[[#This Row],[Sales]]</f>
        <v>0.18267747589833477</v>
      </c>
      <c r="X354" t="str">
        <f>IF(Table1[[#This Row],[Sales]]&gt;=30000,"High Value",IF(Table1[[#This Row],[Sales]]&gt;=15000,"Medium Value","Low Value"))</f>
        <v>Low Value</v>
      </c>
      <c r="Y354" t="str">
        <f>IF(Table1[[#This Row],[Quantity]]&gt;=3,"Bulk Order","Regular Order")</f>
        <v>Regular Order</v>
      </c>
      <c r="Z354" t="str">
        <f>TEXT(Table1[[#This Row],[Order Date]],"dddd")</f>
        <v>Tuesday</v>
      </c>
    </row>
    <row r="355" spans="1:26" ht="14.4" x14ac:dyDescent="0.3">
      <c r="A355" t="s">
        <v>982</v>
      </c>
      <c r="B355" t="s">
        <v>983</v>
      </c>
      <c r="C355" s="2">
        <v>46198</v>
      </c>
      <c r="D355" t="s">
        <v>42</v>
      </c>
      <c r="E355" t="s">
        <v>66</v>
      </c>
      <c r="F355" t="s">
        <v>291</v>
      </c>
      <c r="G355" t="s">
        <v>80</v>
      </c>
      <c r="H355" t="s">
        <v>46</v>
      </c>
      <c r="I355" t="s">
        <v>33</v>
      </c>
      <c r="J355" t="s">
        <v>59</v>
      </c>
      <c r="K355" t="s">
        <v>60</v>
      </c>
      <c r="L355" t="s">
        <v>61</v>
      </c>
      <c r="M355">
        <v>1</v>
      </c>
      <c r="N355">
        <v>15976</v>
      </c>
      <c r="O355" s="2">
        <v>5</v>
      </c>
      <c r="P355" s="2">
        <v>15177.2</v>
      </c>
      <c r="Q355" s="2">
        <v>11994.87</v>
      </c>
      <c r="R355" s="2">
        <v>3182.33</v>
      </c>
      <c r="S355" t="s">
        <v>50</v>
      </c>
      <c r="T355">
        <v>5</v>
      </c>
      <c r="U355" t="s">
        <v>51</v>
      </c>
      <c r="V355" t="s">
        <v>39</v>
      </c>
      <c r="W355" s="3">
        <f>Table1[[#This Row],[Profit]]/Table1[[#This Row],[Sales]]</f>
        <v>0.20967833328940777</v>
      </c>
      <c r="X355" t="str">
        <f>IF(Table1[[#This Row],[Sales]]&gt;=30000,"High Value",IF(Table1[[#This Row],[Sales]]&gt;=15000,"Medium Value","Low Value"))</f>
        <v>Medium Value</v>
      </c>
      <c r="Y355" t="str">
        <f>IF(Table1[[#This Row],[Quantity]]&gt;=3,"Bulk Order","Regular Order")</f>
        <v>Regular Order</v>
      </c>
      <c r="Z355" t="str">
        <f>TEXT(Table1[[#This Row],[Order Date]],"dddd")</f>
        <v>Thursday</v>
      </c>
    </row>
    <row r="356" spans="1:26" ht="14.4" x14ac:dyDescent="0.3">
      <c r="A356" t="s">
        <v>984</v>
      </c>
      <c r="B356" t="s">
        <v>985</v>
      </c>
      <c r="C356" s="2">
        <v>46146</v>
      </c>
      <c r="D356" t="s">
        <v>28</v>
      </c>
      <c r="E356" t="s">
        <v>55</v>
      </c>
      <c r="F356" t="s">
        <v>189</v>
      </c>
      <c r="G356" t="s">
        <v>175</v>
      </c>
      <c r="H356" t="s">
        <v>32</v>
      </c>
      <c r="I356" t="s">
        <v>33</v>
      </c>
      <c r="J356" t="s">
        <v>169</v>
      </c>
      <c r="K356" t="s">
        <v>170</v>
      </c>
      <c r="L356" t="s">
        <v>171</v>
      </c>
      <c r="M356">
        <v>1</v>
      </c>
      <c r="N356">
        <v>10658</v>
      </c>
      <c r="O356" s="2">
        <v>5</v>
      </c>
      <c r="P356" s="2">
        <v>10125.1</v>
      </c>
      <c r="Q356" s="2">
        <v>8137.72</v>
      </c>
      <c r="R356" s="2">
        <v>1987.38</v>
      </c>
      <c r="S356" t="s">
        <v>37</v>
      </c>
      <c r="T356">
        <v>5</v>
      </c>
      <c r="U356" t="s">
        <v>51</v>
      </c>
      <c r="V356" t="s">
        <v>52</v>
      </c>
      <c r="W356" s="3">
        <f>Table1[[#This Row],[Profit]]/Table1[[#This Row],[Sales]]</f>
        <v>0.19628250585179405</v>
      </c>
      <c r="X356" t="str">
        <f>IF(Table1[[#This Row],[Sales]]&gt;=30000,"High Value",IF(Table1[[#This Row],[Sales]]&gt;=15000,"Medium Value","Low Value"))</f>
        <v>Low Value</v>
      </c>
      <c r="Y356" t="str">
        <f>IF(Table1[[#This Row],[Quantity]]&gt;=3,"Bulk Order","Regular Order")</f>
        <v>Regular Order</v>
      </c>
      <c r="Z356" t="str">
        <f>TEXT(Table1[[#This Row],[Order Date]],"dddd")</f>
        <v>Monday</v>
      </c>
    </row>
    <row r="357" spans="1:26" ht="14.4" x14ac:dyDescent="0.3">
      <c r="A357" t="s">
        <v>986</v>
      </c>
      <c r="B357" t="s">
        <v>987</v>
      </c>
      <c r="C357" s="2">
        <v>46159</v>
      </c>
      <c r="D357" t="s">
        <v>28</v>
      </c>
      <c r="E357" t="s">
        <v>66</v>
      </c>
      <c r="F357" t="s">
        <v>310</v>
      </c>
      <c r="G357" t="s">
        <v>225</v>
      </c>
      <c r="H357" t="s">
        <v>32</v>
      </c>
      <c r="I357" t="s">
        <v>33</v>
      </c>
      <c r="J357" t="s">
        <v>34</v>
      </c>
      <c r="K357" t="s">
        <v>35</v>
      </c>
      <c r="L357" t="s">
        <v>36</v>
      </c>
      <c r="M357">
        <v>2</v>
      </c>
      <c r="N357">
        <v>12740</v>
      </c>
      <c r="O357" s="2">
        <v>5</v>
      </c>
      <c r="P357" s="2">
        <v>24206</v>
      </c>
      <c r="Q357" s="2">
        <v>18938.599999999999</v>
      </c>
      <c r="R357" s="2">
        <v>5267.4</v>
      </c>
      <c r="S357" t="s">
        <v>50</v>
      </c>
      <c r="T357">
        <v>3</v>
      </c>
      <c r="U357" t="s">
        <v>51</v>
      </c>
      <c r="V357" t="s">
        <v>86</v>
      </c>
      <c r="W357" s="3">
        <f>Table1[[#This Row],[Profit]]/Table1[[#This Row],[Sales]]</f>
        <v>0.21760720482524992</v>
      </c>
      <c r="X357" t="str">
        <f>IF(Table1[[#This Row],[Sales]]&gt;=30000,"High Value",IF(Table1[[#This Row],[Sales]]&gt;=15000,"Medium Value","Low Value"))</f>
        <v>Medium Value</v>
      </c>
      <c r="Y357" t="str">
        <f>IF(Table1[[#This Row],[Quantity]]&gt;=3,"Bulk Order","Regular Order")</f>
        <v>Regular Order</v>
      </c>
      <c r="Z357" t="str">
        <f>TEXT(Table1[[#This Row],[Order Date]],"dddd")</f>
        <v>Sunday</v>
      </c>
    </row>
    <row r="358" spans="1:26" ht="14.4" x14ac:dyDescent="0.3">
      <c r="A358" t="s">
        <v>988</v>
      </c>
      <c r="B358" t="s">
        <v>989</v>
      </c>
      <c r="C358" s="2">
        <v>46157</v>
      </c>
      <c r="D358" t="s">
        <v>28</v>
      </c>
      <c r="E358" t="s">
        <v>133</v>
      </c>
      <c r="F358" t="s">
        <v>990</v>
      </c>
      <c r="G358" t="s">
        <v>412</v>
      </c>
      <c r="H358" t="s">
        <v>46</v>
      </c>
      <c r="I358" t="s">
        <v>33</v>
      </c>
      <c r="J358" t="s">
        <v>34</v>
      </c>
      <c r="K358" t="s">
        <v>35</v>
      </c>
      <c r="L358" t="s">
        <v>36</v>
      </c>
      <c r="M358">
        <v>1</v>
      </c>
      <c r="N358">
        <v>12387</v>
      </c>
      <c r="O358" s="2">
        <v>5</v>
      </c>
      <c r="P358" s="2">
        <v>11767.65</v>
      </c>
      <c r="Q358" s="2">
        <v>9626.2999999999993</v>
      </c>
      <c r="R358" s="2">
        <v>2141.35</v>
      </c>
      <c r="S358" t="s">
        <v>81</v>
      </c>
      <c r="T358">
        <v>4</v>
      </c>
      <c r="U358" t="s">
        <v>90</v>
      </c>
      <c r="V358" t="s">
        <v>52</v>
      </c>
      <c r="W358" s="3">
        <f>Table1[[#This Row],[Profit]]/Table1[[#This Row],[Sales]]</f>
        <v>0.18196921220464579</v>
      </c>
      <c r="X358" t="str">
        <f>IF(Table1[[#This Row],[Sales]]&gt;=30000,"High Value",IF(Table1[[#This Row],[Sales]]&gt;=15000,"Medium Value","Low Value"))</f>
        <v>Low Value</v>
      </c>
      <c r="Y358" t="str">
        <f>IF(Table1[[#This Row],[Quantity]]&gt;=3,"Bulk Order","Regular Order")</f>
        <v>Regular Order</v>
      </c>
      <c r="Z358" t="str">
        <f>TEXT(Table1[[#This Row],[Order Date]],"dddd")</f>
        <v>Friday</v>
      </c>
    </row>
    <row r="359" spans="1:26" ht="14.4" x14ac:dyDescent="0.3">
      <c r="A359" t="s">
        <v>991</v>
      </c>
      <c r="B359" t="s">
        <v>992</v>
      </c>
      <c r="C359" s="2">
        <v>46168</v>
      </c>
      <c r="D359" t="s">
        <v>28</v>
      </c>
      <c r="E359" t="s">
        <v>133</v>
      </c>
      <c r="F359" t="s">
        <v>423</v>
      </c>
      <c r="G359" t="s">
        <v>408</v>
      </c>
      <c r="H359" t="s">
        <v>46</v>
      </c>
      <c r="I359" t="s">
        <v>33</v>
      </c>
      <c r="J359" t="s">
        <v>59</v>
      </c>
      <c r="K359" t="s">
        <v>95</v>
      </c>
      <c r="L359" t="s">
        <v>36</v>
      </c>
      <c r="M359">
        <v>1</v>
      </c>
      <c r="N359">
        <v>15088</v>
      </c>
      <c r="O359" s="2">
        <v>5</v>
      </c>
      <c r="P359" s="2">
        <v>14333.6</v>
      </c>
      <c r="Q359" s="2">
        <v>11569.08</v>
      </c>
      <c r="R359" s="2">
        <v>2764.52</v>
      </c>
      <c r="S359" t="s">
        <v>37</v>
      </c>
      <c r="T359">
        <v>5</v>
      </c>
      <c r="U359" t="s">
        <v>51</v>
      </c>
      <c r="V359" t="s">
        <v>86</v>
      </c>
      <c r="W359" s="3">
        <f>Table1[[#This Row],[Profit]]/Table1[[#This Row],[Sales]]</f>
        <v>0.19286990009488195</v>
      </c>
      <c r="X359" t="str">
        <f>IF(Table1[[#This Row],[Sales]]&gt;=30000,"High Value",IF(Table1[[#This Row],[Sales]]&gt;=15000,"Medium Value","Low Value"))</f>
        <v>Low Value</v>
      </c>
      <c r="Y359" t="str">
        <f>IF(Table1[[#This Row],[Quantity]]&gt;=3,"Bulk Order","Regular Order")</f>
        <v>Regular Order</v>
      </c>
      <c r="Z359" t="str">
        <f>TEXT(Table1[[#This Row],[Order Date]],"dddd")</f>
        <v>Tuesday</v>
      </c>
    </row>
    <row r="360" spans="1:26" ht="14.4" x14ac:dyDescent="0.3">
      <c r="A360" t="s">
        <v>993</v>
      </c>
      <c r="B360" t="s">
        <v>994</v>
      </c>
      <c r="C360" s="2">
        <v>46178</v>
      </c>
      <c r="D360" t="s">
        <v>42</v>
      </c>
      <c r="E360" t="s">
        <v>29</v>
      </c>
      <c r="F360" t="s">
        <v>98</v>
      </c>
      <c r="G360" t="s">
        <v>124</v>
      </c>
      <c r="H360" t="s">
        <v>46</v>
      </c>
      <c r="I360" t="s">
        <v>33</v>
      </c>
      <c r="J360" t="s">
        <v>59</v>
      </c>
      <c r="K360" t="s">
        <v>60</v>
      </c>
      <c r="L360" t="s">
        <v>61</v>
      </c>
      <c r="M360">
        <v>1</v>
      </c>
      <c r="N360">
        <v>17802</v>
      </c>
      <c r="O360" s="2">
        <v>10</v>
      </c>
      <c r="P360" s="2">
        <v>16021.8</v>
      </c>
      <c r="Q360" s="2">
        <v>12750.35</v>
      </c>
      <c r="R360" s="2">
        <v>3271.45</v>
      </c>
      <c r="S360" t="s">
        <v>50</v>
      </c>
      <c r="T360">
        <v>4</v>
      </c>
      <c r="U360" t="s">
        <v>51</v>
      </c>
      <c r="V360" t="s">
        <v>86</v>
      </c>
      <c r="W360" s="3">
        <f>Table1[[#This Row],[Profit]]/Table1[[#This Row],[Sales]]</f>
        <v>0.2041874196407395</v>
      </c>
      <c r="X360" t="str">
        <f>IF(Table1[[#This Row],[Sales]]&gt;=30000,"High Value",IF(Table1[[#This Row],[Sales]]&gt;=15000,"Medium Value","Low Value"))</f>
        <v>Medium Value</v>
      </c>
      <c r="Y360" t="str">
        <f>IF(Table1[[#This Row],[Quantity]]&gt;=3,"Bulk Order","Regular Order")</f>
        <v>Regular Order</v>
      </c>
      <c r="Z360" t="str">
        <f>TEXT(Table1[[#This Row],[Order Date]],"dddd")</f>
        <v>Friday</v>
      </c>
    </row>
    <row r="361" spans="1:26" ht="14.4" x14ac:dyDescent="0.3">
      <c r="A361" t="s">
        <v>995</v>
      </c>
      <c r="B361" t="s">
        <v>996</v>
      </c>
      <c r="C361" s="2">
        <v>46184</v>
      </c>
      <c r="D361" t="s">
        <v>42</v>
      </c>
      <c r="E361" t="s">
        <v>133</v>
      </c>
      <c r="F361" t="s">
        <v>325</v>
      </c>
      <c r="G361" t="s">
        <v>211</v>
      </c>
      <c r="H361" t="s">
        <v>32</v>
      </c>
      <c r="I361" t="s">
        <v>33</v>
      </c>
      <c r="J361" t="s">
        <v>59</v>
      </c>
      <c r="K361" t="s">
        <v>60</v>
      </c>
      <c r="L361" t="s">
        <v>61</v>
      </c>
      <c r="M361">
        <v>2</v>
      </c>
      <c r="N361">
        <v>16440</v>
      </c>
      <c r="O361" s="2">
        <v>10</v>
      </c>
      <c r="P361" s="2">
        <v>29592</v>
      </c>
      <c r="Q361" s="2">
        <v>23111.77</v>
      </c>
      <c r="R361" s="2">
        <v>6480.23</v>
      </c>
      <c r="S361" t="s">
        <v>50</v>
      </c>
      <c r="T361">
        <v>4</v>
      </c>
      <c r="U361" t="s">
        <v>51</v>
      </c>
      <c r="V361" t="s">
        <v>52</v>
      </c>
      <c r="W361" s="3">
        <f>Table1[[#This Row],[Profit]]/Table1[[#This Row],[Sales]]</f>
        <v>0.21898587456069207</v>
      </c>
      <c r="X361" t="str">
        <f>IF(Table1[[#This Row],[Sales]]&gt;=30000,"High Value",IF(Table1[[#This Row],[Sales]]&gt;=15000,"Medium Value","Low Value"))</f>
        <v>Medium Value</v>
      </c>
      <c r="Y361" t="str">
        <f>IF(Table1[[#This Row],[Quantity]]&gt;=3,"Bulk Order","Regular Order")</f>
        <v>Regular Order</v>
      </c>
      <c r="Z361" t="str">
        <f>TEXT(Table1[[#This Row],[Order Date]],"dddd")</f>
        <v>Thursday</v>
      </c>
    </row>
    <row r="362" spans="1:26" ht="14.4" x14ac:dyDescent="0.3">
      <c r="A362" t="s">
        <v>997</v>
      </c>
      <c r="B362" t="s">
        <v>998</v>
      </c>
      <c r="C362" s="2">
        <v>46168</v>
      </c>
      <c r="D362" t="s">
        <v>28</v>
      </c>
      <c r="E362" t="s">
        <v>133</v>
      </c>
      <c r="F362" t="s">
        <v>930</v>
      </c>
      <c r="G362" t="s">
        <v>148</v>
      </c>
      <c r="H362" t="s">
        <v>32</v>
      </c>
      <c r="I362" t="s">
        <v>33</v>
      </c>
      <c r="J362" t="s">
        <v>59</v>
      </c>
      <c r="K362" t="s">
        <v>60</v>
      </c>
      <c r="L362" t="s">
        <v>61</v>
      </c>
      <c r="M362">
        <v>1</v>
      </c>
      <c r="N362">
        <v>15961</v>
      </c>
      <c r="O362" s="2">
        <v>5</v>
      </c>
      <c r="P362" s="2">
        <v>15162.95</v>
      </c>
      <c r="Q362" s="2">
        <v>12269.85</v>
      </c>
      <c r="R362" s="2">
        <v>2893.1</v>
      </c>
      <c r="S362" t="s">
        <v>37</v>
      </c>
      <c r="T362">
        <v>5</v>
      </c>
      <c r="U362" t="s">
        <v>51</v>
      </c>
      <c r="V362" t="s">
        <v>86</v>
      </c>
      <c r="W362" s="3">
        <f>Table1[[#This Row],[Profit]]/Table1[[#This Row],[Sales]]</f>
        <v>0.1908006027850781</v>
      </c>
      <c r="X362" t="str">
        <f>IF(Table1[[#This Row],[Sales]]&gt;=30000,"High Value",IF(Table1[[#This Row],[Sales]]&gt;=15000,"Medium Value","Low Value"))</f>
        <v>Medium Value</v>
      </c>
      <c r="Y362" t="str">
        <f>IF(Table1[[#This Row],[Quantity]]&gt;=3,"Bulk Order","Regular Order")</f>
        <v>Regular Order</v>
      </c>
      <c r="Z362" t="str">
        <f>TEXT(Table1[[#This Row],[Order Date]],"dddd")</f>
        <v>Tuesday</v>
      </c>
    </row>
    <row r="363" spans="1:26" ht="14.4" x14ac:dyDescent="0.3">
      <c r="A363" t="s">
        <v>999</v>
      </c>
      <c r="B363" t="s">
        <v>1000</v>
      </c>
      <c r="C363" s="2">
        <v>46156</v>
      </c>
      <c r="D363" t="s">
        <v>28</v>
      </c>
      <c r="E363" t="s">
        <v>55</v>
      </c>
      <c r="F363" t="s">
        <v>432</v>
      </c>
      <c r="G363" t="s">
        <v>375</v>
      </c>
      <c r="H363" t="s">
        <v>32</v>
      </c>
      <c r="I363" t="s">
        <v>58</v>
      </c>
      <c r="J363" t="s">
        <v>47</v>
      </c>
      <c r="K363" t="s">
        <v>69</v>
      </c>
      <c r="L363" t="s">
        <v>70</v>
      </c>
      <c r="M363">
        <v>4</v>
      </c>
      <c r="N363">
        <v>8746</v>
      </c>
      <c r="O363" s="2">
        <v>10</v>
      </c>
      <c r="P363" s="2">
        <v>31485.599999999999</v>
      </c>
      <c r="Q363" s="2">
        <v>25265.4</v>
      </c>
      <c r="R363" s="2">
        <v>6220.2</v>
      </c>
      <c r="S363" t="s">
        <v>37</v>
      </c>
      <c r="T363">
        <v>5</v>
      </c>
      <c r="U363" t="s">
        <v>51</v>
      </c>
      <c r="V363" t="s">
        <v>75</v>
      </c>
      <c r="W363" s="3">
        <f>Table1[[#This Row],[Profit]]/Table1[[#This Row],[Sales]]</f>
        <v>0.19755697842823386</v>
      </c>
      <c r="X363" t="str">
        <f>IF(Table1[[#This Row],[Sales]]&gt;=30000,"High Value",IF(Table1[[#This Row],[Sales]]&gt;=15000,"Medium Value","Low Value"))</f>
        <v>High Value</v>
      </c>
      <c r="Y363" t="str">
        <f>IF(Table1[[#This Row],[Quantity]]&gt;=3,"Bulk Order","Regular Order")</f>
        <v>Bulk Order</v>
      </c>
      <c r="Z363" t="str">
        <f>TEXT(Table1[[#This Row],[Order Date]],"dddd")</f>
        <v>Thursday</v>
      </c>
    </row>
    <row r="364" spans="1:26" ht="14.4" x14ac:dyDescent="0.3">
      <c r="A364" t="s">
        <v>1001</v>
      </c>
      <c r="B364" t="s">
        <v>1002</v>
      </c>
      <c r="C364" s="2">
        <v>46178</v>
      </c>
      <c r="D364" t="s">
        <v>42</v>
      </c>
      <c r="E364" t="s">
        <v>43</v>
      </c>
      <c r="F364" t="s">
        <v>900</v>
      </c>
      <c r="G364" t="s">
        <v>57</v>
      </c>
      <c r="H364" t="s">
        <v>46</v>
      </c>
      <c r="I364" t="s">
        <v>33</v>
      </c>
      <c r="J364" t="s">
        <v>59</v>
      </c>
      <c r="K364" t="s">
        <v>60</v>
      </c>
      <c r="L364" t="s">
        <v>61</v>
      </c>
      <c r="M364">
        <v>2</v>
      </c>
      <c r="N364">
        <v>17977</v>
      </c>
      <c r="O364" s="2">
        <v>5</v>
      </c>
      <c r="P364" s="2">
        <v>34156.300000000003</v>
      </c>
      <c r="Q364" s="2">
        <v>26763.22</v>
      </c>
      <c r="R364" s="2">
        <v>7393.08</v>
      </c>
      <c r="S364" t="s">
        <v>81</v>
      </c>
      <c r="T364">
        <v>4</v>
      </c>
      <c r="U364" t="s">
        <v>51</v>
      </c>
      <c r="V364" t="s">
        <v>39</v>
      </c>
      <c r="W364" s="3">
        <f>Table1[[#This Row],[Profit]]/Table1[[#This Row],[Sales]]</f>
        <v>0.2164485029116151</v>
      </c>
      <c r="X364" t="str">
        <f>IF(Table1[[#This Row],[Sales]]&gt;=30000,"High Value",IF(Table1[[#This Row],[Sales]]&gt;=15000,"Medium Value","Low Value"))</f>
        <v>High Value</v>
      </c>
      <c r="Y364" t="str">
        <f>IF(Table1[[#This Row],[Quantity]]&gt;=3,"Bulk Order","Regular Order")</f>
        <v>Regular Order</v>
      </c>
      <c r="Z364" t="str">
        <f>TEXT(Table1[[#This Row],[Order Date]],"dddd")</f>
        <v>Friday</v>
      </c>
    </row>
    <row r="365" spans="1:26" ht="14.4" x14ac:dyDescent="0.3">
      <c r="A365" t="s">
        <v>1003</v>
      </c>
      <c r="B365" t="s">
        <v>1004</v>
      </c>
      <c r="C365" s="2">
        <v>46163</v>
      </c>
      <c r="D365" t="s">
        <v>28</v>
      </c>
      <c r="E365" t="s">
        <v>66</v>
      </c>
      <c r="F365" t="s">
        <v>945</v>
      </c>
      <c r="G365" t="s">
        <v>115</v>
      </c>
      <c r="H365" t="s">
        <v>32</v>
      </c>
      <c r="I365" t="s">
        <v>33</v>
      </c>
      <c r="J365" t="s">
        <v>47</v>
      </c>
      <c r="K365" t="s">
        <v>48</v>
      </c>
      <c r="L365" t="s">
        <v>49</v>
      </c>
      <c r="M365">
        <v>1</v>
      </c>
      <c r="N365">
        <v>7525</v>
      </c>
      <c r="O365" s="2">
        <v>10</v>
      </c>
      <c r="P365" s="2">
        <v>6772.5</v>
      </c>
      <c r="Q365" s="2">
        <v>5443.36</v>
      </c>
      <c r="R365" s="2">
        <v>1329.14</v>
      </c>
      <c r="S365" t="s">
        <v>50</v>
      </c>
      <c r="T365">
        <v>5</v>
      </c>
      <c r="U365" t="s">
        <v>51</v>
      </c>
      <c r="V365" t="s">
        <v>63</v>
      </c>
      <c r="W365" s="3">
        <f>Table1[[#This Row],[Profit]]/Table1[[#This Row],[Sales]]</f>
        <v>0.19625544481358437</v>
      </c>
      <c r="X365" t="str">
        <f>IF(Table1[[#This Row],[Sales]]&gt;=30000,"High Value",IF(Table1[[#This Row],[Sales]]&gt;=15000,"Medium Value","Low Value"))</f>
        <v>Low Value</v>
      </c>
      <c r="Y365" t="str">
        <f>IF(Table1[[#This Row],[Quantity]]&gt;=3,"Bulk Order","Regular Order")</f>
        <v>Regular Order</v>
      </c>
      <c r="Z365" t="str">
        <f>TEXT(Table1[[#This Row],[Order Date]],"dddd")</f>
        <v>Thursday</v>
      </c>
    </row>
    <row r="366" spans="1:26" ht="14.4" x14ac:dyDescent="0.3">
      <c r="A366" t="s">
        <v>1005</v>
      </c>
      <c r="B366" t="s">
        <v>1006</v>
      </c>
      <c r="C366" s="2">
        <v>46168</v>
      </c>
      <c r="D366" t="s">
        <v>28</v>
      </c>
      <c r="E366" t="s">
        <v>133</v>
      </c>
      <c r="F366" t="s">
        <v>221</v>
      </c>
      <c r="G366" t="s">
        <v>124</v>
      </c>
      <c r="H366" t="s">
        <v>46</v>
      </c>
      <c r="I366" t="s">
        <v>58</v>
      </c>
      <c r="J366" t="s">
        <v>59</v>
      </c>
      <c r="K366" t="s">
        <v>95</v>
      </c>
      <c r="L366" t="s">
        <v>36</v>
      </c>
      <c r="M366">
        <v>5</v>
      </c>
      <c r="N366">
        <v>16526</v>
      </c>
      <c r="O366" s="2">
        <v>5</v>
      </c>
      <c r="P366" s="2">
        <v>78498.5</v>
      </c>
      <c r="Q366" s="2">
        <v>62065.88</v>
      </c>
      <c r="R366" s="2">
        <v>16432.62</v>
      </c>
      <c r="S366" t="s">
        <v>37</v>
      </c>
      <c r="T366">
        <v>5</v>
      </c>
      <c r="U366" t="s">
        <v>51</v>
      </c>
      <c r="V366" t="s">
        <v>86</v>
      </c>
      <c r="W366" s="3">
        <f>Table1[[#This Row],[Profit]]/Table1[[#This Row],[Sales]]</f>
        <v>0.20933673891857804</v>
      </c>
      <c r="X366" t="str">
        <f>IF(Table1[[#This Row],[Sales]]&gt;=30000,"High Value",IF(Table1[[#This Row],[Sales]]&gt;=15000,"Medium Value","Low Value"))</f>
        <v>High Value</v>
      </c>
      <c r="Y366" t="str">
        <f>IF(Table1[[#This Row],[Quantity]]&gt;=3,"Bulk Order","Regular Order")</f>
        <v>Bulk Order</v>
      </c>
      <c r="Z366" t="str">
        <f>TEXT(Table1[[#This Row],[Order Date]],"dddd")</f>
        <v>Tuesday</v>
      </c>
    </row>
    <row r="367" spans="1:26" ht="14.4" x14ac:dyDescent="0.3">
      <c r="A367" t="s">
        <v>1007</v>
      </c>
      <c r="B367" t="s">
        <v>1008</v>
      </c>
      <c r="C367" s="2">
        <v>46199</v>
      </c>
      <c r="D367" t="s">
        <v>42</v>
      </c>
      <c r="E367" t="s">
        <v>78</v>
      </c>
      <c r="F367" t="s">
        <v>757</v>
      </c>
      <c r="G367" t="s">
        <v>204</v>
      </c>
      <c r="H367" t="s">
        <v>46</v>
      </c>
      <c r="I367" t="s">
        <v>33</v>
      </c>
      <c r="J367" t="s">
        <v>47</v>
      </c>
      <c r="K367" t="s">
        <v>48</v>
      </c>
      <c r="L367" t="s">
        <v>49</v>
      </c>
      <c r="M367">
        <v>1</v>
      </c>
      <c r="N367">
        <v>7757</v>
      </c>
      <c r="O367" s="2">
        <v>5</v>
      </c>
      <c r="P367" s="2">
        <v>7369.15</v>
      </c>
      <c r="Q367" s="2">
        <v>5972.96</v>
      </c>
      <c r="R367" s="2">
        <v>1396.19</v>
      </c>
      <c r="S367" t="s">
        <v>37</v>
      </c>
      <c r="T367">
        <v>4</v>
      </c>
      <c r="U367" t="s">
        <v>51</v>
      </c>
      <c r="V367" t="s">
        <v>39</v>
      </c>
      <c r="W367" s="3">
        <f>Table1[[#This Row],[Profit]]/Table1[[#This Row],[Sales]]</f>
        <v>0.18946418515025479</v>
      </c>
      <c r="X367" t="str">
        <f>IF(Table1[[#This Row],[Sales]]&gt;=30000,"High Value",IF(Table1[[#This Row],[Sales]]&gt;=15000,"Medium Value","Low Value"))</f>
        <v>Low Value</v>
      </c>
      <c r="Y367" t="str">
        <f>IF(Table1[[#This Row],[Quantity]]&gt;=3,"Bulk Order","Regular Order")</f>
        <v>Regular Order</v>
      </c>
      <c r="Z367" t="str">
        <f>TEXT(Table1[[#This Row],[Order Date]],"dddd")</f>
        <v>Friday</v>
      </c>
    </row>
    <row r="368" spans="1:26" ht="14.4" x14ac:dyDescent="0.3">
      <c r="A368" t="s">
        <v>1009</v>
      </c>
      <c r="B368" t="s">
        <v>1010</v>
      </c>
      <c r="C368" s="2">
        <v>46153</v>
      </c>
      <c r="D368" t="s">
        <v>28</v>
      </c>
      <c r="E368" t="s">
        <v>78</v>
      </c>
      <c r="F368" t="s">
        <v>1011</v>
      </c>
      <c r="G368" t="s">
        <v>292</v>
      </c>
      <c r="H368" t="s">
        <v>46</v>
      </c>
      <c r="I368" t="s">
        <v>33</v>
      </c>
      <c r="J368" t="s">
        <v>34</v>
      </c>
      <c r="K368" t="s">
        <v>35</v>
      </c>
      <c r="L368" t="s">
        <v>36</v>
      </c>
      <c r="M368">
        <v>1</v>
      </c>
      <c r="N368">
        <v>11053</v>
      </c>
      <c r="O368" s="2">
        <v>5</v>
      </c>
      <c r="P368" s="2">
        <v>10500.35</v>
      </c>
      <c r="Q368" s="2">
        <v>8365.0300000000007</v>
      </c>
      <c r="R368" s="2">
        <v>2135.3200000000002</v>
      </c>
      <c r="S368" t="s">
        <v>81</v>
      </c>
      <c r="T368">
        <v>5</v>
      </c>
      <c r="U368" t="s">
        <v>51</v>
      </c>
      <c r="V368" t="s">
        <v>39</v>
      </c>
      <c r="W368" s="3">
        <f>Table1[[#This Row],[Profit]]/Table1[[#This Row],[Sales]]</f>
        <v>0.20335703095611099</v>
      </c>
      <c r="X368" t="str">
        <f>IF(Table1[[#This Row],[Sales]]&gt;=30000,"High Value",IF(Table1[[#This Row],[Sales]]&gt;=15000,"Medium Value","Low Value"))</f>
        <v>Low Value</v>
      </c>
      <c r="Y368" t="str">
        <f>IF(Table1[[#This Row],[Quantity]]&gt;=3,"Bulk Order","Regular Order")</f>
        <v>Regular Order</v>
      </c>
      <c r="Z368" t="str">
        <f>TEXT(Table1[[#This Row],[Order Date]],"dddd")</f>
        <v>Monday</v>
      </c>
    </row>
    <row r="369" spans="1:26" ht="14.4" x14ac:dyDescent="0.3">
      <c r="A369" t="s">
        <v>1012</v>
      </c>
      <c r="B369" t="s">
        <v>1013</v>
      </c>
      <c r="C369" s="2">
        <v>46180</v>
      </c>
      <c r="D369" t="s">
        <v>42</v>
      </c>
      <c r="E369" t="s">
        <v>43</v>
      </c>
      <c r="F369" t="s">
        <v>248</v>
      </c>
      <c r="G369" t="s">
        <v>389</v>
      </c>
      <c r="H369" t="s">
        <v>46</v>
      </c>
      <c r="I369" t="s">
        <v>58</v>
      </c>
      <c r="J369" t="s">
        <v>169</v>
      </c>
      <c r="K369" t="s">
        <v>170</v>
      </c>
      <c r="L369" t="s">
        <v>171</v>
      </c>
      <c r="M369">
        <v>4</v>
      </c>
      <c r="N369">
        <v>9762</v>
      </c>
      <c r="O369" s="2">
        <v>0</v>
      </c>
      <c r="P369" s="2">
        <v>39048</v>
      </c>
      <c r="Q369" s="2">
        <v>31884.32</v>
      </c>
      <c r="R369" s="2">
        <v>7163.68</v>
      </c>
      <c r="S369" t="s">
        <v>50</v>
      </c>
      <c r="T369">
        <v>3</v>
      </c>
      <c r="U369" t="s">
        <v>51</v>
      </c>
      <c r="V369" t="s">
        <v>75</v>
      </c>
      <c r="W369" s="3">
        <f>Table1[[#This Row],[Profit]]/Table1[[#This Row],[Sales]]</f>
        <v>0.1834583077238271</v>
      </c>
      <c r="X369" t="str">
        <f>IF(Table1[[#This Row],[Sales]]&gt;=30000,"High Value",IF(Table1[[#This Row],[Sales]]&gt;=15000,"Medium Value","Low Value"))</f>
        <v>High Value</v>
      </c>
      <c r="Y369" t="str">
        <f>IF(Table1[[#This Row],[Quantity]]&gt;=3,"Bulk Order","Regular Order")</f>
        <v>Bulk Order</v>
      </c>
      <c r="Z369" t="str">
        <f>TEXT(Table1[[#This Row],[Order Date]],"dddd")</f>
        <v>Sunday</v>
      </c>
    </row>
    <row r="370" spans="1:26" ht="14.4" x14ac:dyDescent="0.3">
      <c r="A370" t="s">
        <v>1014</v>
      </c>
      <c r="B370" t="s">
        <v>1015</v>
      </c>
      <c r="C370" s="2">
        <v>46178</v>
      </c>
      <c r="D370" t="s">
        <v>42</v>
      </c>
      <c r="E370" t="s">
        <v>29</v>
      </c>
      <c r="F370" t="s">
        <v>547</v>
      </c>
      <c r="G370" t="s">
        <v>204</v>
      </c>
      <c r="H370" t="s">
        <v>46</v>
      </c>
      <c r="I370" t="s">
        <v>58</v>
      </c>
      <c r="J370" t="s">
        <v>169</v>
      </c>
      <c r="K370" t="s">
        <v>170</v>
      </c>
      <c r="L370" t="s">
        <v>171</v>
      </c>
      <c r="M370">
        <v>3</v>
      </c>
      <c r="N370">
        <v>11107</v>
      </c>
      <c r="O370" s="2">
        <v>5</v>
      </c>
      <c r="P370" s="2">
        <v>31654.95</v>
      </c>
      <c r="Q370" s="2">
        <v>25130.89</v>
      </c>
      <c r="R370" s="2">
        <v>6524.06</v>
      </c>
      <c r="S370" t="s">
        <v>50</v>
      </c>
      <c r="T370">
        <v>5</v>
      </c>
      <c r="U370" t="s">
        <v>51</v>
      </c>
      <c r="V370" t="s">
        <v>75</v>
      </c>
      <c r="W370" s="3">
        <f>Table1[[#This Row],[Profit]]/Table1[[#This Row],[Sales]]</f>
        <v>0.20609920407392843</v>
      </c>
      <c r="X370" t="str">
        <f>IF(Table1[[#This Row],[Sales]]&gt;=30000,"High Value",IF(Table1[[#This Row],[Sales]]&gt;=15000,"Medium Value","Low Value"))</f>
        <v>High Value</v>
      </c>
      <c r="Y370" t="str">
        <f>IF(Table1[[#This Row],[Quantity]]&gt;=3,"Bulk Order","Regular Order")</f>
        <v>Bulk Order</v>
      </c>
      <c r="Z370" t="str">
        <f>TEXT(Table1[[#This Row],[Order Date]],"dddd")</f>
        <v>Friday</v>
      </c>
    </row>
    <row r="371" spans="1:26" ht="14.4" x14ac:dyDescent="0.3">
      <c r="A371" t="s">
        <v>1016</v>
      </c>
      <c r="B371" t="s">
        <v>1017</v>
      </c>
      <c r="C371" s="2">
        <v>46184</v>
      </c>
      <c r="D371" t="s">
        <v>42</v>
      </c>
      <c r="E371" t="s">
        <v>55</v>
      </c>
      <c r="F371" t="s">
        <v>44</v>
      </c>
      <c r="G371" t="s">
        <v>322</v>
      </c>
      <c r="H371" t="s">
        <v>32</v>
      </c>
      <c r="I371" t="s">
        <v>33</v>
      </c>
      <c r="J371" t="s">
        <v>47</v>
      </c>
      <c r="K371" t="s">
        <v>69</v>
      </c>
      <c r="L371" t="s">
        <v>70</v>
      </c>
      <c r="M371">
        <v>1</v>
      </c>
      <c r="N371">
        <v>8289</v>
      </c>
      <c r="O371" s="2">
        <v>0</v>
      </c>
      <c r="P371" s="2">
        <v>8289</v>
      </c>
      <c r="Q371" s="2">
        <v>6685.38</v>
      </c>
      <c r="R371" s="2">
        <v>1603.62</v>
      </c>
      <c r="S371" t="s">
        <v>50</v>
      </c>
      <c r="T371">
        <v>5</v>
      </c>
      <c r="U371" t="s">
        <v>51</v>
      </c>
      <c r="V371" t="s">
        <v>86</v>
      </c>
      <c r="W371" s="3">
        <f>Table1[[#This Row],[Profit]]/Table1[[#This Row],[Sales]]</f>
        <v>0.19346362649294244</v>
      </c>
      <c r="X371" t="str">
        <f>IF(Table1[[#This Row],[Sales]]&gt;=30000,"High Value",IF(Table1[[#This Row],[Sales]]&gt;=15000,"Medium Value","Low Value"))</f>
        <v>Low Value</v>
      </c>
      <c r="Y371" t="str">
        <f>IF(Table1[[#This Row],[Quantity]]&gt;=3,"Bulk Order","Regular Order")</f>
        <v>Regular Order</v>
      </c>
      <c r="Z371" t="str">
        <f>TEXT(Table1[[#This Row],[Order Date]],"dddd")</f>
        <v>Thursday</v>
      </c>
    </row>
    <row r="372" spans="1:26" ht="14.4" x14ac:dyDescent="0.3">
      <c r="A372" t="s">
        <v>1018</v>
      </c>
      <c r="B372" t="s">
        <v>1019</v>
      </c>
      <c r="C372" s="2">
        <v>46159</v>
      </c>
      <c r="D372" t="s">
        <v>28</v>
      </c>
      <c r="E372" t="s">
        <v>133</v>
      </c>
      <c r="F372" t="s">
        <v>1020</v>
      </c>
      <c r="G372" t="s">
        <v>389</v>
      </c>
      <c r="H372" t="s">
        <v>46</v>
      </c>
      <c r="I372" t="s">
        <v>33</v>
      </c>
      <c r="J372" t="s">
        <v>47</v>
      </c>
      <c r="K372" t="s">
        <v>69</v>
      </c>
      <c r="L372" t="s">
        <v>70</v>
      </c>
      <c r="M372">
        <v>2</v>
      </c>
      <c r="N372">
        <v>7971</v>
      </c>
      <c r="O372" s="2">
        <v>10</v>
      </c>
      <c r="P372" s="2">
        <v>14347.8</v>
      </c>
      <c r="Q372" s="2">
        <v>11746.82</v>
      </c>
      <c r="R372" s="2">
        <v>2600.98</v>
      </c>
      <c r="S372" t="s">
        <v>37</v>
      </c>
      <c r="T372">
        <v>5</v>
      </c>
      <c r="U372" t="s">
        <v>51</v>
      </c>
      <c r="V372" t="s">
        <v>75</v>
      </c>
      <c r="W372" s="3">
        <f>Table1[[#This Row],[Profit]]/Table1[[#This Row],[Sales]]</f>
        <v>0.18128075384379488</v>
      </c>
      <c r="X372" t="str">
        <f>IF(Table1[[#This Row],[Sales]]&gt;=30000,"High Value",IF(Table1[[#This Row],[Sales]]&gt;=15000,"Medium Value","Low Value"))</f>
        <v>Low Value</v>
      </c>
      <c r="Y372" t="str">
        <f>IF(Table1[[#This Row],[Quantity]]&gt;=3,"Bulk Order","Regular Order")</f>
        <v>Regular Order</v>
      </c>
      <c r="Z372" t="str">
        <f>TEXT(Table1[[#This Row],[Order Date]],"dddd")</f>
        <v>Sunday</v>
      </c>
    </row>
    <row r="373" spans="1:26" ht="14.4" x14ac:dyDescent="0.3">
      <c r="A373" t="s">
        <v>1021</v>
      </c>
      <c r="B373" t="s">
        <v>1022</v>
      </c>
      <c r="C373" s="2">
        <v>46154</v>
      </c>
      <c r="D373" t="s">
        <v>28</v>
      </c>
      <c r="E373" t="s">
        <v>43</v>
      </c>
      <c r="F373" t="s">
        <v>1023</v>
      </c>
      <c r="G373" t="s">
        <v>245</v>
      </c>
      <c r="H373" t="s">
        <v>46</v>
      </c>
      <c r="I373" t="s">
        <v>33</v>
      </c>
      <c r="J373" t="s">
        <v>34</v>
      </c>
      <c r="K373" t="s">
        <v>35</v>
      </c>
      <c r="L373" t="s">
        <v>36</v>
      </c>
      <c r="M373">
        <v>1</v>
      </c>
      <c r="N373">
        <v>13628</v>
      </c>
      <c r="O373" s="2">
        <v>5</v>
      </c>
      <c r="P373" s="2">
        <v>12946.6</v>
      </c>
      <c r="Q373" s="2">
        <v>10330.02</v>
      </c>
      <c r="R373" s="2">
        <v>2616.58</v>
      </c>
      <c r="S373" t="s">
        <v>37</v>
      </c>
      <c r="T373">
        <v>5</v>
      </c>
      <c r="U373" t="s">
        <v>51</v>
      </c>
      <c r="V373" t="s">
        <v>86</v>
      </c>
      <c r="W373" s="3">
        <f>Table1[[#This Row],[Profit]]/Table1[[#This Row],[Sales]]</f>
        <v>0.2021055721193209</v>
      </c>
      <c r="X373" t="str">
        <f>IF(Table1[[#This Row],[Sales]]&gt;=30000,"High Value",IF(Table1[[#This Row],[Sales]]&gt;=15000,"Medium Value","Low Value"))</f>
        <v>Low Value</v>
      </c>
      <c r="Y373" t="str">
        <f>IF(Table1[[#This Row],[Quantity]]&gt;=3,"Bulk Order","Regular Order")</f>
        <v>Regular Order</v>
      </c>
      <c r="Z373" t="str">
        <f>TEXT(Table1[[#This Row],[Order Date]],"dddd")</f>
        <v>Tuesday</v>
      </c>
    </row>
    <row r="374" spans="1:26" ht="14.4" x14ac:dyDescent="0.3">
      <c r="A374" t="s">
        <v>1024</v>
      </c>
      <c r="B374" t="s">
        <v>1025</v>
      </c>
      <c r="C374" s="2">
        <v>46155</v>
      </c>
      <c r="D374" t="s">
        <v>28</v>
      </c>
      <c r="E374" t="s">
        <v>29</v>
      </c>
      <c r="F374" t="s">
        <v>358</v>
      </c>
      <c r="G374" t="s">
        <v>211</v>
      </c>
      <c r="H374" t="s">
        <v>32</v>
      </c>
      <c r="I374" t="s">
        <v>33</v>
      </c>
      <c r="J374" t="s">
        <v>34</v>
      </c>
      <c r="K374" t="s">
        <v>35</v>
      </c>
      <c r="L374" t="s">
        <v>36</v>
      </c>
      <c r="M374">
        <v>2</v>
      </c>
      <c r="N374">
        <v>13998</v>
      </c>
      <c r="O374" s="2">
        <v>10</v>
      </c>
      <c r="P374" s="2">
        <v>25196.400000000001</v>
      </c>
      <c r="Q374" s="2">
        <v>19657.32</v>
      </c>
      <c r="R374" s="2">
        <v>5539.08</v>
      </c>
      <c r="S374" t="s">
        <v>37</v>
      </c>
      <c r="T374">
        <v>5</v>
      </c>
      <c r="U374" t="s">
        <v>51</v>
      </c>
      <c r="V374" t="s">
        <v>52</v>
      </c>
      <c r="W374" s="3">
        <f>Table1[[#This Row],[Profit]]/Table1[[#This Row],[Sales]]</f>
        <v>0.2198361670714864</v>
      </c>
      <c r="X374" t="str">
        <f>IF(Table1[[#This Row],[Sales]]&gt;=30000,"High Value",IF(Table1[[#This Row],[Sales]]&gt;=15000,"Medium Value","Low Value"))</f>
        <v>Medium Value</v>
      </c>
      <c r="Y374" t="str">
        <f>IF(Table1[[#This Row],[Quantity]]&gt;=3,"Bulk Order","Regular Order")</f>
        <v>Regular Order</v>
      </c>
      <c r="Z374" t="str">
        <f>TEXT(Table1[[#This Row],[Order Date]],"dddd")</f>
        <v>Wednesday</v>
      </c>
    </row>
    <row r="375" spans="1:26" ht="14.4" x14ac:dyDescent="0.3">
      <c r="A375" t="s">
        <v>1026</v>
      </c>
      <c r="B375" t="s">
        <v>1027</v>
      </c>
      <c r="C375" s="2">
        <v>46143</v>
      </c>
      <c r="D375" t="s">
        <v>28</v>
      </c>
      <c r="E375" t="s">
        <v>55</v>
      </c>
      <c r="F375" t="s">
        <v>157</v>
      </c>
      <c r="G375" t="s">
        <v>211</v>
      </c>
      <c r="H375" t="s">
        <v>32</v>
      </c>
      <c r="I375" t="s">
        <v>33</v>
      </c>
      <c r="J375" t="s">
        <v>47</v>
      </c>
      <c r="K375" t="s">
        <v>48</v>
      </c>
      <c r="L375" t="s">
        <v>49</v>
      </c>
      <c r="M375">
        <v>2</v>
      </c>
      <c r="N375">
        <v>7690</v>
      </c>
      <c r="O375" s="2">
        <v>15</v>
      </c>
      <c r="P375" s="2">
        <v>13073</v>
      </c>
      <c r="Q375" s="2">
        <v>10650.61</v>
      </c>
      <c r="R375" s="2">
        <v>2422.39</v>
      </c>
      <c r="S375" t="s">
        <v>81</v>
      </c>
      <c r="T375">
        <v>5</v>
      </c>
      <c r="U375" t="s">
        <v>51</v>
      </c>
      <c r="V375" t="s">
        <v>86</v>
      </c>
      <c r="W375" s="3">
        <f>Table1[[#This Row],[Profit]]/Table1[[#This Row],[Sales]]</f>
        <v>0.18529717738851065</v>
      </c>
      <c r="X375" t="str">
        <f>IF(Table1[[#This Row],[Sales]]&gt;=30000,"High Value",IF(Table1[[#This Row],[Sales]]&gt;=15000,"Medium Value","Low Value"))</f>
        <v>Low Value</v>
      </c>
      <c r="Y375" t="str">
        <f>IF(Table1[[#This Row],[Quantity]]&gt;=3,"Bulk Order","Regular Order")</f>
        <v>Regular Order</v>
      </c>
      <c r="Z375" t="str">
        <f>TEXT(Table1[[#This Row],[Order Date]],"dddd")</f>
        <v>Friday</v>
      </c>
    </row>
    <row r="376" spans="1:26" ht="14.4" x14ac:dyDescent="0.3">
      <c r="A376" t="s">
        <v>1028</v>
      </c>
      <c r="B376" t="s">
        <v>1029</v>
      </c>
      <c r="C376" s="2">
        <v>46200</v>
      </c>
      <c r="D376" t="s">
        <v>42</v>
      </c>
      <c r="E376" t="s">
        <v>133</v>
      </c>
      <c r="F376" t="s">
        <v>147</v>
      </c>
      <c r="G376" t="s">
        <v>322</v>
      </c>
      <c r="H376" t="s">
        <v>32</v>
      </c>
      <c r="I376" t="s">
        <v>33</v>
      </c>
      <c r="J376" t="s">
        <v>59</v>
      </c>
      <c r="K376" t="s">
        <v>95</v>
      </c>
      <c r="L376" t="s">
        <v>36</v>
      </c>
      <c r="M376">
        <v>1</v>
      </c>
      <c r="N376">
        <v>16401</v>
      </c>
      <c r="O376" s="2">
        <v>5</v>
      </c>
      <c r="P376" s="2">
        <v>15580.95</v>
      </c>
      <c r="Q376" s="2">
        <v>12574.94</v>
      </c>
      <c r="R376" s="2">
        <v>3006.01</v>
      </c>
      <c r="S376" t="s">
        <v>37</v>
      </c>
      <c r="T376">
        <v>3</v>
      </c>
      <c r="U376" t="s">
        <v>51</v>
      </c>
      <c r="V376" t="s">
        <v>116</v>
      </c>
      <c r="W376" s="3">
        <f>Table1[[#This Row],[Profit]]/Table1[[#This Row],[Sales]]</f>
        <v>0.1929285441516724</v>
      </c>
      <c r="X376" t="str">
        <f>IF(Table1[[#This Row],[Sales]]&gt;=30000,"High Value",IF(Table1[[#This Row],[Sales]]&gt;=15000,"Medium Value","Low Value"))</f>
        <v>Medium Value</v>
      </c>
      <c r="Y376" t="str">
        <f>IF(Table1[[#This Row],[Quantity]]&gt;=3,"Bulk Order","Regular Order")</f>
        <v>Regular Order</v>
      </c>
      <c r="Z376" t="str">
        <f>TEXT(Table1[[#This Row],[Order Date]],"dddd")</f>
        <v>Saturday</v>
      </c>
    </row>
    <row r="377" spans="1:26" ht="14.4" x14ac:dyDescent="0.3">
      <c r="A377" t="s">
        <v>1030</v>
      </c>
      <c r="B377" t="s">
        <v>1031</v>
      </c>
      <c r="C377" s="2">
        <v>46193</v>
      </c>
      <c r="D377" t="s">
        <v>42</v>
      </c>
      <c r="E377" t="s">
        <v>55</v>
      </c>
      <c r="F377" t="s">
        <v>581</v>
      </c>
      <c r="G377" t="s">
        <v>412</v>
      </c>
      <c r="H377" t="s">
        <v>46</v>
      </c>
      <c r="I377" t="s">
        <v>33</v>
      </c>
      <c r="J377" t="s">
        <v>169</v>
      </c>
      <c r="K377" t="s">
        <v>170</v>
      </c>
      <c r="L377" t="s">
        <v>171</v>
      </c>
      <c r="M377">
        <v>1</v>
      </c>
      <c r="N377">
        <v>11264</v>
      </c>
      <c r="O377" s="2">
        <v>0</v>
      </c>
      <c r="P377" s="2">
        <v>11264</v>
      </c>
      <c r="Q377" s="2">
        <v>9017.26</v>
      </c>
      <c r="R377" s="2">
        <v>2246.7399999999998</v>
      </c>
      <c r="S377" t="s">
        <v>37</v>
      </c>
      <c r="T377">
        <v>4</v>
      </c>
      <c r="U377" t="s">
        <v>51</v>
      </c>
      <c r="V377" t="s">
        <v>39</v>
      </c>
      <c r="W377" s="3">
        <f>Table1[[#This Row],[Profit]]/Table1[[#This Row],[Sales]]</f>
        <v>0.19946200284090906</v>
      </c>
      <c r="X377" t="str">
        <f>IF(Table1[[#This Row],[Sales]]&gt;=30000,"High Value",IF(Table1[[#This Row],[Sales]]&gt;=15000,"Medium Value","Low Value"))</f>
        <v>Low Value</v>
      </c>
      <c r="Y377" t="str">
        <f>IF(Table1[[#This Row],[Quantity]]&gt;=3,"Bulk Order","Regular Order")</f>
        <v>Regular Order</v>
      </c>
      <c r="Z377" t="str">
        <f>TEXT(Table1[[#This Row],[Order Date]],"dddd")</f>
        <v>Saturday</v>
      </c>
    </row>
    <row r="378" spans="1:26" ht="14.4" x14ac:dyDescent="0.3">
      <c r="A378" t="s">
        <v>1032</v>
      </c>
      <c r="B378" t="s">
        <v>1033</v>
      </c>
      <c r="C378" s="2">
        <v>46162</v>
      </c>
      <c r="D378" t="s">
        <v>28</v>
      </c>
      <c r="E378" t="s">
        <v>55</v>
      </c>
      <c r="F378" t="s">
        <v>255</v>
      </c>
      <c r="G378" t="s">
        <v>454</v>
      </c>
      <c r="H378" t="s">
        <v>32</v>
      </c>
      <c r="I378" t="s">
        <v>33</v>
      </c>
      <c r="J378" t="s">
        <v>59</v>
      </c>
      <c r="K378" t="s">
        <v>60</v>
      </c>
      <c r="L378" t="s">
        <v>61</v>
      </c>
      <c r="M378">
        <v>1</v>
      </c>
      <c r="N378">
        <v>16228</v>
      </c>
      <c r="O378" s="2">
        <v>0</v>
      </c>
      <c r="P378" s="2">
        <v>16228</v>
      </c>
      <c r="Q378" s="2">
        <v>13264.01</v>
      </c>
      <c r="R378" s="2">
        <v>2963.99</v>
      </c>
      <c r="S378" t="s">
        <v>81</v>
      </c>
      <c r="T378">
        <v>5</v>
      </c>
      <c r="U378" t="s">
        <v>51</v>
      </c>
      <c r="V378" t="s">
        <v>86</v>
      </c>
      <c r="W378" s="3">
        <f>Table1[[#This Row],[Profit]]/Table1[[#This Row],[Sales]]</f>
        <v>0.18264666009366526</v>
      </c>
      <c r="X378" t="str">
        <f>IF(Table1[[#This Row],[Sales]]&gt;=30000,"High Value",IF(Table1[[#This Row],[Sales]]&gt;=15000,"Medium Value","Low Value"))</f>
        <v>Medium Value</v>
      </c>
      <c r="Y378" t="str">
        <f>IF(Table1[[#This Row],[Quantity]]&gt;=3,"Bulk Order","Regular Order")</f>
        <v>Regular Order</v>
      </c>
      <c r="Z378" t="str">
        <f>TEXT(Table1[[#This Row],[Order Date]],"dddd")</f>
        <v>Wednesday</v>
      </c>
    </row>
    <row r="379" spans="1:26" ht="14.4" x14ac:dyDescent="0.3">
      <c r="A379" t="s">
        <v>1034</v>
      </c>
      <c r="B379" t="s">
        <v>1035</v>
      </c>
      <c r="C379" s="2">
        <v>46178</v>
      </c>
      <c r="D379" t="s">
        <v>42</v>
      </c>
      <c r="E379" t="s">
        <v>43</v>
      </c>
      <c r="F379" t="s">
        <v>465</v>
      </c>
      <c r="G379" t="s">
        <v>286</v>
      </c>
      <c r="H379" t="s">
        <v>46</v>
      </c>
      <c r="I379" t="s">
        <v>33</v>
      </c>
      <c r="J379" t="s">
        <v>59</v>
      </c>
      <c r="K379" t="s">
        <v>60</v>
      </c>
      <c r="L379" t="s">
        <v>61</v>
      </c>
      <c r="M379">
        <v>1</v>
      </c>
      <c r="N379">
        <v>17506</v>
      </c>
      <c r="O379" s="2">
        <v>5</v>
      </c>
      <c r="P379" s="2">
        <v>16630.7</v>
      </c>
      <c r="Q379" s="2">
        <v>13270.45</v>
      </c>
      <c r="R379" s="2">
        <v>3360.25</v>
      </c>
      <c r="S379" t="s">
        <v>81</v>
      </c>
      <c r="T379">
        <v>5</v>
      </c>
      <c r="U379" t="s">
        <v>51</v>
      </c>
      <c r="V379" t="s">
        <v>52</v>
      </c>
      <c r="W379" s="3">
        <f>Table1[[#This Row],[Profit]]/Table1[[#This Row],[Sales]]</f>
        <v>0.20205102611435477</v>
      </c>
      <c r="X379" t="str">
        <f>IF(Table1[[#This Row],[Sales]]&gt;=30000,"High Value",IF(Table1[[#This Row],[Sales]]&gt;=15000,"Medium Value","Low Value"))</f>
        <v>Medium Value</v>
      </c>
      <c r="Y379" t="str">
        <f>IF(Table1[[#This Row],[Quantity]]&gt;=3,"Bulk Order","Regular Order")</f>
        <v>Regular Order</v>
      </c>
      <c r="Z379" t="str">
        <f>TEXT(Table1[[#This Row],[Order Date]],"dddd")</f>
        <v>Friday</v>
      </c>
    </row>
    <row r="380" spans="1:26" ht="14.4" x14ac:dyDescent="0.3">
      <c r="A380" t="s">
        <v>1036</v>
      </c>
      <c r="B380" t="s">
        <v>1037</v>
      </c>
      <c r="C380" s="2">
        <v>46176</v>
      </c>
      <c r="D380" t="s">
        <v>42</v>
      </c>
      <c r="E380" t="s">
        <v>66</v>
      </c>
      <c r="F380" t="s">
        <v>432</v>
      </c>
      <c r="G380" t="s">
        <v>198</v>
      </c>
      <c r="H380" t="s">
        <v>32</v>
      </c>
      <c r="I380" t="s">
        <v>58</v>
      </c>
      <c r="J380" t="s">
        <v>47</v>
      </c>
      <c r="K380" t="s">
        <v>48</v>
      </c>
      <c r="L380" t="s">
        <v>49</v>
      </c>
      <c r="M380">
        <v>3</v>
      </c>
      <c r="N380">
        <v>8876</v>
      </c>
      <c r="O380" s="2">
        <v>10</v>
      </c>
      <c r="P380" s="2">
        <v>23965.200000000001</v>
      </c>
      <c r="Q380" s="2">
        <v>18958.87</v>
      </c>
      <c r="R380" s="2">
        <v>5006.33</v>
      </c>
      <c r="S380" t="s">
        <v>37</v>
      </c>
      <c r="T380">
        <v>4</v>
      </c>
      <c r="U380" t="s">
        <v>51</v>
      </c>
      <c r="V380" t="s">
        <v>75</v>
      </c>
      <c r="W380" s="3">
        <f>Table1[[#This Row],[Profit]]/Table1[[#This Row],[Sales]]</f>
        <v>0.20889998831639209</v>
      </c>
      <c r="X380" t="str">
        <f>IF(Table1[[#This Row],[Sales]]&gt;=30000,"High Value",IF(Table1[[#This Row],[Sales]]&gt;=15000,"Medium Value","Low Value"))</f>
        <v>Medium Value</v>
      </c>
      <c r="Y380" t="str">
        <f>IF(Table1[[#This Row],[Quantity]]&gt;=3,"Bulk Order","Regular Order")</f>
        <v>Bulk Order</v>
      </c>
      <c r="Z380" t="str">
        <f>TEXT(Table1[[#This Row],[Order Date]],"dddd")</f>
        <v>Wednesday</v>
      </c>
    </row>
    <row r="381" spans="1:26" ht="14.4" x14ac:dyDescent="0.3">
      <c r="A381" t="s">
        <v>1038</v>
      </c>
      <c r="B381" t="s">
        <v>1039</v>
      </c>
      <c r="C381" s="2">
        <v>46168</v>
      </c>
      <c r="D381" t="s">
        <v>28</v>
      </c>
      <c r="E381" t="s">
        <v>133</v>
      </c>
      <c r="F381" t="s">
        <v>537</v>
      </c>
      <c r="G381" t="s">
        <v>85</v>
      </c>
      <c r="H381" t="s">
        <v>32</v>
      </c>
      <c r="I381" t="s">
        <v>58</v>
      </c>
      <c r="J381" t="s">
        <v>59</v>
      </c>
      <c r="K381" t="s">
        <v>95</v>
      </c>
      <c r="L381" t="s">
        <v>36</v>
      </c>
      <c r="M381">
        <v>3</v>
      </c>
      <c r="N381">
        <v>15702</v>
      </c>
      <c r="O381" s="2">
        <v>15</v>
      </c>
      <c r="P381" s="2">
        <v>40040.1</v>
      </c>
      <c r="Q381" s="2">
        <v>31659.919999999998</v>
      </c>
      <c r="R381" s="2">
        <v>8380.18</v>
      </c>
      <c r="S381" t="s">
        <v>37</v>
      </c>
      <c r="T381">
        <v>5</v>
      </c>
      <c r="U381" t="s">
        <v>90</v>
      </c>
      <c r="V381" t="s">
        <v>116</v>
      </c>
      <c r="W381" s="3">
        <f>Table1[[#This Row],[Profit]]/Table1[[#This Row],[Sales]]</f>
        <v>0.2092946820812136</v>
      </c>
      <c r="X381" t="str">
        <f>IF(Table1[[#This Row],[Sales]]&gt;=30000,"High Value",IF(Table1[[#This Row],[Sales]]&gt;=15000,"Medium Value","Low Value"))</f>
        <v>High Value</v>
      </c>
      <c r="Y381" t="str">
        <f>IF(Table1[[#This Row],[Quantity]]&gt;=3,"Bulk Order","Regular Order")</f>
        <v>Bulk Order</v>
      </c>
      <c r="Z381" t="str">
        <f>TEXT(Table1[[#This Row],[Order Date]],"dddd")</f>
        <v>Tuesday</v>
      </c>
    </row>
    <row r="382" spans="1:26" ht="14.4" x14ac:dyDescent="0.3">
      <c r="A382" t="s">
        <v>1040</v>
      </c>
      <c r="B382" t="s">
        <v>1041</v>
      </c>
      <c r="C382" s="2">
        <v>46167</v>
      </c>
      <c r="D382" t="s">
        <v>28</v>
      </c>
      <c r="E382" t="s">
        <v>133</v>
      </c>
      <c r="F382" t="s">
        <v>923</v>
      </c>
      <c r="G382" t="s">
        <v>911</v>
      </c>
      <c r="H382" t="s">
        <v>46</v>
      </c>
      <c r="I382" t="s">
        <v>58</v>
      </c>
      <c r="J382" t="s">
        <v>47</v>
      </c>
      <c r="K382" t="s">
        <v>48</v>
      </c>
      <c r="L382" t="s">
        <v>49</v>
      </c>
      <c r="M382">
        <v>3</v>
      </c>
      <c r="N382">
        <v>8066</v>
      </c>
      <c r="O382" s="2">
        <v>0</v>
      </c>
      <c r="P382" s="2">
        <v>24198</v>
      </c>
      <c r="Q382" s="2">
        <v>19779.93</v>
      </c>
      <c r="R382" s="2">
        <v>4418.07</v>
      </c>
      <c r="S382" t="s">
        <v>37</v>
      </c>
      <c r="T382">
        <v>4</v>
      </c>
      <c r="U382" t="s">
        <v>51</v>
      </c>
      <c r="V382" t="s">
        <v>52</v>
      </c>
      <c r="W382" s="3">
        <f>Table1[[#This Row],[Profit]]/Table1[[#This Row],[Sales]]</f>
        <v>0.18257996528638729</v>
      </c>
      <c r="X382" t="str">
        <f>IF(Table1[[#This Row],[Sales]]&gt;=30000,"High Value",IF(Table1[[#This Row],[Sales]]&gt;=15000,"Medium Value","Low Value"))</f>
        <v>Medium Value</v>
      </c>
      <c r="Y382" t="str">
        <f>IF(Table1[[#This Row],[Quantity]]&gt;=3,"Bulk Order","Regular Order")</f>
        <v>Bulk Order</v>
      </c>
      <c r="Z382" t="str">
        <f>TEXT(Table1[[#This Row],[Order Date]],"dddd")</f>
        <v>Monday</v>
      </c>
    </row>
    <row r="383" spans="1:26" ht="14.4" x14ac:dyDescent="0.3">
      <c r="A383" t="s">
        <v>1042</v>
      </c>
      <c r="B383" t="s">
        <v>1043</v>
      </c>
      <c r="C383" s="2">
        <v>46193</v>
      </c>
      <c r="D383" t="s">
        <v>42</v>
      </c>
      <c r="E383" t="s">
        <v>78</v>
      </c>
      <c r="F383" t="s">
        <v>316</v>
      </c>
      <c r="G383" t="s">
        <v>292</v>
      </c>
      <c r="H383" t="s">
        <v>46</v>
      </c>
      <c r="I383" t="s">
        <v>58</v>
      </c>
      <c r="J383" t="s">
        <v>47</v>
      </c>
      <c r="K383" t="s">
        <v>48</v>
      </c>
      <c r="L383" t="s">
        <v>49</v>
      </c>
      <c r="M383">
        <v>5</v>
      </c>
      <c r="N383">
        <v>7530</v>
      </c>
      <c r="O383" s="2">
        <v>10</v>
      </c>
      <c r="P383" s="2">
        <v>33885</v>
      </c>
      <c r="Q383" s="2">
        <v>26997.34</v>
      </c>
      <c r="R383" s="2">
        <v>6887.66</v>
      </c>
      <c r="S383" t="s">
        <v>50</v>
      </c>
      <c r="T383">
        <v>4</v>
      </c>
      <c r="U383" t="s">
        <v>51</v>
      </c>
      <c r="V383" t="s">
        <v>86</v>
      </c>
      <c r="W383" s="3">
        <f>Table1[[#This Row],[Profit]]/Table1[[#This Row],[Sales]]</f>
        <v>0.20326575180758447</v>
      </c>
      <c r="X383" t="str">
        <f>IF(Table1[[#This Row],[Sales]]&gt;=30000,"High Value",IF(Table1[[#This Row],[Sales]]&gt;=15000,"Medium Value","Low Value"))</f>
        <v>High Value</v>
      </c>
      <c r="Y383" t="str">
        <f>IF(Table1[[#This Row],[Quantity]]&gt;=3,"Bulk Order","Regular Order")</f>
        <v>Bulk Order</v>
      </c>
      <c r="Z383" t="str">
        <f>TEXT(Table1[[#This Row],[Order Date]],"dddd")</f>
        <v>Saturday</v>
      </c>
    </row>
    <row r="384" spans="1:26" ht="14.4" x14ac:dyDescent="0.3">
      <c r="A384" t="s">
        <v>1044</v>
      </c>
      <c r="B384" t="s">
        <v>1045</v>
      </c>
      <c r="C384" s="2">
        <v>46185</v>
      </c>
      <c r="D384" t="s">
        <v>42</v>
      </c>
      <c r="E384" t="s">
        <v>102</v>
      </c>
      <c r="F384" t="s">
        <v>1046</v>
      </c>
      <c r="G384" t="s">
        <v>261</v>
      </c>
      <c r="H384" t="s">
        <v>32</v>
      </c>
      <c r="I384" t="s">
        <v>33</v>
      </c>
      <c r="J384" t="s">
        <v>59</v>
      </c>
      <c r="K384" t="s">
        <v>95</v>
      </c>
      <c r="L384" t="s">
        <v>36</v>
      </c>
      <c r="M384">
        <v>1</v>
      </c>
      <c r="N384">
        <v>14845</v>
      </c>
      <c r="O384" s="2">
        <v>15</v>
      </c>
      <c r="P384" s="2">
        <v>12618.25</v>
      </c>
      <c r="Q384" s="2">
        <v>10196.91</v>
      </c>
      <c r="R384" s="2">
        <v>2421.34</v>
      </c>
      <c r="S384" t="s">
        <v>37</v>
      </c>
      <c r="T384">
        <v>5</v>
      </c>
      <c r="U384" t="s">
        <v>51</v>
      </c>
      <c r="V384" t="s">
        <v>63</v>
      </c>
      <c r="W384" s="3">
        <f>Table1[[#This Row],[Profit]]/Table1[[#This Row],[Sales]]</f>
        <v>0.19189190260139086</v>
      </c>
      <c r="X384" t="str">
        <f>IF(Table1[[#This Row],[Sales]]&gt;=30000,"High Value",IF(Table1[[#This Row],[Sales]]&gt;=15000,"Medium Value","Low Value"))</f>
        <v>Low Value</v>
      </c>
      <c r="Y384" t="str">
        <f>IF(Table1[[#This Row],[Quantity]]&gt;=3,"Bulk Order","Regular Order")</f>
        <v>Regular Order</v>
      </c>
      <c r="Z384" t="str">
        <f>TEXT(Table1[[#This Row],[Order Date]],"dddd")</f>
        <v>Friday</v>
      </c>
    </row>
    <row r="385" spans="1:26" ht="14.4" x14ac:dyDescent="0.3">
      <c r="A385" t="s">
        <v>1047</v>
      </c>
      <c r="B385" t="s">
        <v>1048</v>
      </c>
      <c r="C385" s="2">
        <v>46151</v>
      </c>
      <c r="D385" t="s">
        <v>28</v>
      </c>
      <c r="E385" t="s">
        <v>55</v>
      </c>
      <c r="F385" t="s">
        <v>119</v>
      </c>
      <c r="G385" t="s">
        <v>168</v>
      </c>
      <c r="H385" t="s">
        <v>32</v>
      </c>
      <c r="I385" t="s">
        <v>58</v>
      </c>
      <c r="J385" t="s">
        <v>47</v>
      </c>
      <c r="K385" t="s">
        <v>48</v>
      </c>
      <c r="L385" t="s">
        <v>49</v>
      </c>
      <c r="M385">
        <v>5</v>
      </c>
      <c r="N385">
        <v>7816</v>
      </c>
      <c r="O385" s="2">
        <v>0</v>
      </c>
      <c r="P385" s="2">
        <v>39080</v>
      </c>
      <c r="Q385" s="2">
        <v>30768.25</v>
      </c>
      <c r="R385" s="2">
        <v>8311.75</v>
      </c>
      <c r="S385" t="s">
        <v>50</v>
      </c>
      <c r="T385">
        <v>3</v>
      </c>
      <c r="U385" t="s">
        <v>51</v>
      </c>
      <c r="V385" t="s">
        <v>52</v>
      </c>
      <c r="W385" s="3">
        <f>Table1[[#This Row],[Profit]]/Table1[[#This Row],[Sales]]</f>
        <v>0.21268551688843398</v>
      </c>
      <c r="X385" t="str">
        <f>IF(Table1[[#This Row],[Sales]]&gt;=30000,"High Value",IF(Table1[[#This Row],[Sales]]&gt;=15000,"Medium Value","Low Value"))</f>
        <v>High Value</v>
      </c>
      <c r="Y385" t="str">
        <f>IF(Table1[[#This Row],[Quantity]]&gt;=3,"Bulk Order","Regular Order")</f>
        <v>Bulk Order</v>
      </c>
      <c r="Z385" t="str">
        <f>TEXT(Table1[[#This Row],[Order Date]],"dddd")</f>
        <v>Saturday</v>
      </c>
    </row>
    <row r="386" spans="1:26" ht="14.4" x14ac:dyDescent="0.3">
      <c r="A386" t="s">
        <v>1049</v>
      </c>
      <c r="B386" t="s">
        <v>1050</v>
      </c>
      <c r="C386" s="2">
        <v>46181</v>
      </c>
      <c r="D386" t="s">
        <v>42</v>
      </c>
      <c r="E386" t="s">
        <v>133</v>
      </c>
      <c r="F386" t="s">
        <v>119</v>
      </c>
      <c r="G386" t="s">
        <v>342</v>
      </c>
      <c r="H386" t="s">
        <v>46</v>
      </c>
      <c r="I386" t="s">
        <v>58</v>
      </c>
      <c r="J386" t="s">
        <v>59</v>
      </c>
      <c r="K386" t="s">
        <v>95</v>
      </c>
      <c r="L386" t="s">
        <v>36</v>
      </c>
      <c r="M386">
        <v>5</v>
      </c>
      <c r="N386">
        <v>16827</v>
      </c>
      <c r="O386" s="2">
        <v>15</v>
      </c>
      <c r="P386" s="2">
        <v>71514.75</v>
      </c>
      <c r="Q386" s="2">
        <v>57654.38</v>
      </c>
      <c r="R386" s="2">
        <v>13860.37</v>
      </c>
      <c r="S386" t="s">
        <v>50</v>
      </c>
      <c r="T386">
        <v>5</v>
      </c>
      <c r="U386" t="s">
        <v>51</v>
      </c>
      <c r="V386" t="s">
        <v>63</v>
      </c>
      <c r="W386" s="3">
        <f>Table1[[#This Row],[Profit]]/Table1[[#This Row],[Sales]]</f>
        <v>0.19381134661031466</v>
      </c>
      <c r="X386" t="str">
        <f>IF(Table1[[#This Row],[Sales]]&gt;=30000,"High Value",IF(Table1[[#This Row],[Sales]]&gt;=15000,"Medium Value","Low Value"))</f>
        <v>High Value</v>
      </c>
      <c r="Y386" t="str">
        <f>IF(Table1[[#This Row],[Quantity]]&gt;=3,"Bulk Order","Regular Order")</f>
        <v>Bulk Order</v>
      </c>
      <c r="Z386" t="str">
        <f>TEXT(Table1[[#This Row],[Order Date]],"dddd")</f>
        <v>Monday</v>
      </c>
    </row>
    <row r="387" spans="1:26" ht="14.4" x14ac:dyDescent="0.3">
      <c r="A387" t="s">
        <v>1051</v>
      </c>
      <c r="B387" t="s">
        <v>1052</v>
      </c>
      <c r="C387" s="2">
        <v>46180</v>
      </c>
      <c r="D387" t="s">
        <v>42</v>
      </c>
      <c r="E387" t="s">
        <v>43</v>
      </c>
      <c r="F387" t="s">
        <v>242</v>
      </c>
      <c r="G387" t="s">
        <v>68</v>
      </c>
      <c r="H387" t="s">
        <v>32</v>
      </c>
      <c r="I387" t="s">
        <v>33</v>
      </c>
      <c r="J387" t="s">
        <v>59</v>
      </c>
      <c r="K387" t="s">
        <v>95</v>
      </c>
      <c r="L387" t="s">
        <v>36</v>
      </c>
      <c r="M387">
        <v>1</v>
      </c>
      <c r="N387">
        <v>16483</v>
      </c>
      <c r="O387" s="2">
        <v>10</v>
      </c>
      <c r="P387" s="2">
        <v>14834.7</v>
      </c>
      <c r="Q387" s="2">
        <v>11647.33</v>
      </c>
      <c r="R387" s="2">
        <v>3187.37</v>
      </c>
      <c r="S387" t="s">
        <v>37</v>
      </c>
      <c r="T387">
        <v>3</v>
      </c>
      <c r="U387" t="s">
        <v>51</v>
      </c>
      <c r="V387" t="s">
        <v>63</v>
      </c>
      <c r="W387" s="3">
        <f>Table1[[#This Row],[Profit]]/Table1[[#This Row],[Sales]]</f>
        <v>0.21485908039933396</v>
      </c>
      <c r="X387" t="str">
        <f>IF(Table1[[#This Row],[Sales]]&gt;=30000,"High Value",IF(Table1[[#This Row],[Sales]]&gt;=15000,"Medium Value","Low Value"))</f>
        <v>Low Value</v>
      </c>
      <c r="Y387" t="str">
        <f>IF(Table1[[#This Row],[Quantity]]&gt;=3,"Bulk Order","Regular Order")</f>
        <v>Regular Order</v>
      </c>
      <c r="Z387" t="str">
        <f>TEXT(Table1[[#This Row],[Order Date]],"dddd")</f>
        <v>Sunday</v>
      </c>
    </row>
    <row r="388" spans="1:26" ht="14.4" x14ac:dyDescent="0.3">
      <c r="A388" t="s">
        <v>1053</v>
      </c>
      <c r="B388" t="s">
        <v>1054</v>
      </c>
      <c r="C388" s="2">
        <v>46176</v>
      </c>
      <c r="D388" t="s">
        <v>42</v>
      </c>
      <c r="E388" t="s">
        <v>133</v>
      </c>
      <c r="F388" t="s">
        <v>482</v>
      </c>
      <c r="G388" t="s">
        <v>454</v>
      </c>
      <c r="H388" t="s">
        <v>32</v>
      </c>
      <c r="I388" t="s">
        <v>58</v>
      </c>
      <c r="J388" t="s">
        <v>169</v>
      </c>
      <c r="K388" t="s">
        <v>170</v>
      </c>
      <c r="L388" t="s">
        <v>171</v>
      </c>
      <c r="M388">
        <v>5</v>
      </c>
      <c r="N388">
        <v>10824</v>
      </c>
      <c r="O388" s="2">
        <v>0</v>
      </c>
      <c r="P388" s="2">
        <v>54120</v>
      </c>
      <c r="Q388" s="2">
        <v>42741.15</v>
      </c>
      <c r="R388" s="2">
        <v>11378.85</v>
      </c>
      <c r="S388" t="s">
        <v>37</v>
      </c>
      <c r="T388">
        <v>4</v>
      </c>
      <c r="U388" t="s">
        <v>51</v>
      </c>
      <c r="V388" t="s">
        <v>86</v>
      </c>
      <c r="W388" s="3">
        <f>Table1[[#This Row],[Profit]]/Table1[[#This Row],[Sales]]</f>
        <v>0.21025221729490023</v>
      </c>
      <c r="X388" t="str">
        <f>IF(Table1[[#This Row],[Sales]]&gt;=30000,"High Value",IF(Table1[[#This Row],[Sales]]&gt;=15000,"Medium Value","Low Value"))</f>
        <v>High Value</v>
      </c>
      <c r="Y388" t="str">
        <f>IF(Table1[[#This Row],[Quantity]]&gt;=3,"Bulk Order","Regular Order")</f>
        <v>Bulk Order</v>
      </c>
      <c r="Z388" t="str">
        <f>TEXT(Table1[[#This Row],[Order Date]],"dddd")</f>
        <v>Wednesday</v>
      </c>
    </row>
    <row r="389" spans="1:26" ht="14.4" x14ac:dyDescent="0.3">
      <c r="A389" t="s">
        <v>1055</v>
      </c>
      <c r="B389" t="s">
        <v>1056</v>
      </c>
      <c r="C389" s="2">
        <v>46196</v>
      </c>
      <c r="D389" t="s">
        <v>42</v>
      </c>
      <c r="E389" t="s">
        <v>196</v>
      </c>
      <c r="F389" t="s">
        <v>228</v>
      </c>
      <c r="G389" t="s">
        <v>120</v>
      </c>
      <c r="H389" t="s">
        <v>46</v>
      </c>
      <c r="I389" t="s">
        <v>33</v>
      </c>
      <c r="J389" t="s">
        <v>59</v>
      </c>
      <c r="K389" t="s">
        <v>60</v>
      </c>
      <c r="L389" t="s">
        <v>61</v>
      </c>
      <c r="M389">
        <v>1</v>
      </c>
      <c r="N389">
        <v>16346</v>
      </c>
      <c r="O389" s="2">
        <v>5</v>
      </c>
      <c r="P389" s="2">
        <v>15528.7</v>
      </c>
      <c r="Q389" s="2">
        <v>12531.86</v>
      </c>
      <c r="R389" s="2">
        <v>2996.84</v>
      </c>
      <c r="S389" t="s">
        <v>50</v>
      </c>
      <c r="T389">
        <v>5</v>
      </c>
      <c r="U389" t="s">
        <v>51</v>
      </c>
      <c r="V389" t="s">
        <v>39</v>
      </c>
      <c r="W389" s="3">
        <f>Table1[[#This Row],[Profit]]/Table1[[#This Row],[Sales]]</f>
        <v>0.1929871785790182</v>
      </c>
      <c r="X389" t="str">
        <f>IF(Table1[[#This Row],[Sales]]&gt;=30000,"High Value",IF(Table1[[#This Row],[Sales]]&gt;=15000,"Medium Value","Low Value"))</f>
        <v>Medium Value</v>
      </c>
      <c r="Y389" t="str">
        <f>IF(Table1[[#This Row],[Quantity]]&gt;=3,"Bulk Order","Regular Order")</f>
        <v>Regular Order</v>
      </c>
      <c r="Z389" t="str">
        <f>TEXT(Table1[[#This Row],[Order Date]],"dddd")</f>
        <v>Tuesday</v>
      </c>
    </row>
    <row r="390" spans="1:26" ht="14.4" x14ac:dyDescent="0.3">
      <c r="A390" t="s">
        <v>1057</v>
      </c>
      <c r="B390" t="s">
        <v>1058</v>
      </c>
      <c r="C390" s="2">
        <v>46143</v>
      </c>
      <c r="D390" t="s">
        <v>28</v>
      </c>
      <c r="E390" t="s">
        <v>66</v>
      </c>
      <c r="F390" t="s">
        <v>395</v>
      </c>
      <c r="G390" t="s">
        <v>454</v>
      </c>
      <c r="H390" t="s">
        <v>32</v>
      </c>
      <c r="I390" t="s">
        <v>33</v>
      </c>
      <c r="J390" t="s">
        <v>47</v>
      </c>
      <c r="K390" t="s">
        <v>69</v>
      </c>
      <c r="L390" t="s">
        <v>70</v>
      </c>
      <c r="M390">
        <v>1</v>
      </c>
      <c r="N390">
        <v>8974</v>
      </c>
      <c r="O390" s="2">
        <v>0</v>
      </c>
      <c r="P390" s="2">
        <v>8974</v>
      </c>
      <c r="Q390" s="2">
        <v>7160.4</v>
      </c>
      <c r="R390" s="2">
        <v>1813.6</v>
      </c>
      <c r="S390" t="s">
        <v>50</v>
      </c>
      <c r="T390">
        <v>4</v>
      </c>
      <c r="U390" t="s">
        <v>51</v>
      </c>
      <c r="V390" t="s">
        <v>52</v>
      </c>
      <c r="W390" s="3">
        <f>Table1[[#This Row],[Profit]]/Table1[[#This Row],[Sales]]</f>
        <v>0.20209494094049477</v>
      </c>
      <c r="X390" t="str">
        <f>IF(Table1[[#This Row],[Sales]]&gt;=30000,"High Value",IF(Table1[[#This Row],[Sales]]&gt;=15000,"Medium Value","Low Value"))</f>
        <v>Low Value</v>
      </c>
      <c r="Y390" t="str">
        <f>IF(Table1[[#This Row],[Quantity]]&gt;=3,"Bulk Order","Regular Order")</f>
        <v>Regular Order</v>
      </c>
      <c r="Z390" t="str">
        <f>TEXT(Table1[[#This Row],[Order Date]],"dddd")</f>
        <v>Friday</v>
      </c>
    </row>
    <row r="391" spans="1:26" ht="14.4" x14ac:dyDescent="0.3">
      <c r="A391" t="s">
        <v>1059</v>
      </c>
      <c r="B391" t="s">
        <v>1060</v>
      </c>
      <c r="C391" s="2">
        <v>46192</v>
      </c>
      <c r="D391" t="s">
        <v>42</v>
      </c>
      <c r="E391" t="s">
        <v>55</v>
      </c>
      <c r="F391" t="s">
        <v>264</v>
      </c>
      <c r="G391" t="s">
        <v>225</v>
      </c>
      <c r="H391" t="s">
        <v>32</v>
      </c>
      <c r="I391" t="s">
        <v>33</v>
      </c>
      <c r="J391" t="s">
        <v>47</v>
      </c>
      <c r="K391" t="s">
        <v>48</v>
      </c>
      <c r="L391" t="s">
        <v>49</v>
      </c>
      <c r="M391">
        <v>1</v>
      </c>
      <c r="N391">
        <v>7281</v>
      </c>
      <c r="O391" s="2">
        <v>0</v>
      </c>
      <c r="P391" s="2">
        <v>7281</v>
      </c>
      <c r="Q391" s="2">
        <v>5933.85</v>
      </c>
      <c r="R391" s="2">
        <v>1347.15</v>
      </c>
      <c r="S391" t="s">
        <v>50</v>
      </c>
      <c r="T391">
        <v>4</v>
      </c>
      <c r="U391" t="s">
        <v>38</v>
      </c>
      <c r="V391" t="s">
        <v>63</v>
      </c>
      <c r="W391" s="3">
        <f>Table1[[#This Row],[Profit]]/Table1[[#This Row],[Sales]]</f>
        <v>0.1850226617222909</v>
      </c>
      <c r="X391" t="str">
        <f>IF(Table1[[#This Row],[Sales]]&gt;=30000,"High Value",IF(Table1[[#This Row],[Sales]]&gt;=15000,"Medium Value","Low Value"))</f>
        <v>Low Value</v>
      </c>
      <c r="Y391" t="str">
        <f>IF(Table1[[#This Row],[Quantity]]&gt;=3,"Bulk Order","Regular Order")</f>
        <v>Regular Order</v>
      </c>
      <c r="Z391" t="str">
        <f>TEXT(Table1[[#This Row],[Order Date]],"dddd")</f>
        <v>Friday</v>
      </c>
    </row>
    <row r="392" spans="1:26" ht="14.4" x14ac:dyDescent="0.3">
      <c r="A392" t="s">
        <v>1061</v>
      </c>
      <c r="B392" t="s">
        <v>1062</v>
      </c>
      <c r="C392" s="2">
        <v>46200</v>
      </c>
      <c r="D392" t="s">
        <v>42</v>
      </c>
      <c r="E392" t="s">
        <v>55</v>
      </c>
      <c r="F392" t="s">
        <v>217</v>
      </c>
      <c r="G392" t="s">
        <v>218</v>
      </c>
      <c r="H392" t="s">
        <v>46</v>
      </c>
      <c r="I392" t="s">
        <v>33</v>
      </c>
      <c r="J392" t="s">
        <v>34</v>
      </c>
      <c r="K392" t="s">
        <v>35</v>
      </c>
      <c r="L392" t="s">
        <v>36</v>
      </c>
      <c r="M392">
        <v>2</v>
      </c>
      <c r="N392">
        <v>10648</v>
      </c>
      <c r="O392" s="2">
        <v>5</v>
      </c>
      <c r="P392" s="2">
        <v>20231.2</v>
      </c>
      <c r="Q392" s="2">
        <v>16045.95</v>
      </c>
      <c r="R392" s="2">
        <v>4185.25</v>
      </c>
      <c r="S392" t="s">
        <v>50</v>
      </c>
      <c r="T392">
        <v>4</v>
      </c>
      <c r="U392" t="s">
        <v>51</v>
      </c>
      <c r="V392" t="s">
        <v>52</v>
      </c>
      <c r="W392" s="3">
        <f>Table1[[#This Row],[Profit]]/Table1[[#This Row],[Sales]]</f>
        <v>0.20687107042587685</v>
      </c>
      <c r="X392" t="str">
        <f>IF(Table1[[#This Row],[Sales]]&gt;=30000,"High Value",IF(Table1[[#This Row],[Sales]]&gt;=15000,"Medium Value","Low Value"))</f>
        <v>Medium Value</v>
      </c>
      <c r="Y392" t="str">
        <f>IF(Table1[[#This Row],[Quantity]]&gt;=3,"Bulk Order","Regular Order")</f>
        <v>Regular Order</v>
      </c>
      <c r="Z392" t="str">
        <f>TEXT(Table1[[#This Row],[Order Date]],"dddd")</f>
        <v>Saturday</v>
      </c>
    </row>
    <row r="393" spans="1:26" ht="14.4" x14ac:dyDescent="0.3">
      <c r="A393" t="s">
        <v>1063</v>
      </c>
      <c r="B393" t="s">
        <v>1064</v>
      </c>
      <c r="C393" s="2">
        <v>46145</v>
      </c>
      <c r="D393" t="s">
        <v>28</v>
      </c>
      <c r="E393" t="s">
        <v>102</v>
      </c>
      <c r="F393" t="s">
        <v>493</v>
      </c>
      <c r="G393" t="s">
        <v>408</v>
      </c>
      <c r="H393" t="s">
        <v>46</v>
      </c>
      <c r="I393" t="s">
        <v>33</v>
      </c>
      <c r="J393" t="s">
        <v>47</v>
      </c>
      <c r="K393" t="s">
        <v>48</v>
      </c>
      <c r="L393" t="s">
        <v>49</v>
      </c>
      <c r="M393">
        <v>2</v>
      </c>
      <c r="N393">
        <v>7434</v>
      </c>
      <c r="O393" s="2">
        <v>5</v>
      </c>
      <c r="P393" s="2">
        <v>14124.6</v>
      </c>
      <c r="Q393" s="2">
        <v>11265.49</v>
      </c>
      <c r="R393" s="2">
        <v>2859.11</v>
      </c>
      <c r="S393" t="s">
        <v>37</v>
      </c>
      <c r="T393">
        <v>4</v>
      </c>
      <c r="U393" t="s">
        <v>38</v>
      </c>
      <c r="V393" t="s">
        <v>75</v>
      </c>
      <c r="W393" s="3">
        <f>Table1[[#This Row],[Profit]]/Table1[[#This Row],[Sales]]</f>
        <v>0.20242059952140237</v>
      </c>
      <c r="X393" t="str">
        <f>IF(Table1[[#This Row],[Sales]]&gt;=30000,"High Value",IF(Table1[[#This Row],[Sales]]&gt;=15000,"Medium Value","Low Value"))</f>
        <v>Low Value</v>
      </c>
      <c r="Y393" t="str">
        <f>IF(Table1[[#This Row],[Quantity]]&gt;=3,"Bulk Order","Regular Order")</f>
        <v>Regular Order</v>
      </c>
      <c r="Z393" t="str">
        <f>TEXT(Table1[[#This Row],[Order Date]],"dddd")</f>
        <v>Sunday</v>
      </c>
    </row>
    <row r="394" spans="1:26" ht="14.4" x14ac:dyDescent="0.3">
      <c r="A394" t="s">
        <v>1065</v>
      </c>
      <c r="B394" t="s">
        <v>1066</v>
      </c>
      <c r="C394" s="2">
        <v>46186</v>
      </c>
      <c r="D394" t="s">
        <v>42</v>
      </c>
      <c r="E394" t="s">
        <v>78</v>
      </c>
      <c r="F394" t="s">
        <v>232</v>
      </c>
      <c r="G394" t="s">
        <v>120</v>
      </c>
      <c r="H394" t="s">
        <v>46</v>
      </c>
      <c r="I394" t="s">
        <v>33</v>
      </c>
      <c r="J394" t="s">
        <v>169</v>
      </c>
      <c r="K394" t="s">
        <v>170</v>
      </c>
      <c r="L394" t="s">
        <v>171</v>
      </c>
      <c r="M394">
        <v>2</v>
      </c>
      <c r="N394">
        <v>10039</v>
      </c>
      <c r="O394" s="2">
        <v>15</v>
      </c>
      <c r="P394" s="2">
        <v>17066.3</v>
      </c>
      <c r="Q394" s="2">
        <v>13748.35</v>
      </c>
      <c r="R394" s="2">
        <v>3317.95</v>
      </c>
      <c r="S394" t="s">
        <v>37</v>
      </c>
      <c r="T394">
        <v>3</v>
      </c>
      <c r="U394" t="s">
        <v>51</v>
      </c>
      <c r="V394" t="s">
        <v>75</v>
      </c>
      <c r="W394" s="3">
        <f>Table1[[#This Row],[Profit]]/Table1[[#This Row],[Sales]]</f>
        <v>0.19441530970391943</v>
      </c>
      <c r="X394" t="str">
        <f>IF(Table1[[#This Row],[Sales]]&gt;=30000,"High Value",IF(Table1[[#This Row],[Sales]]&gt;=15000,"Medium Value","Low Value"))</f>
        <v>Medium Value</v>
      </c>
      <c r="Y394" t="str">
        <f>IF(Table1[[#This Row],[Quantity]]&gt;=3,"Bulk Order","Regular Order")</f>
        <v>Regular Order</v>
      </c>
      <c r="Z394" t="str">
        <f>TEXT(Table1[[#This Row],[Order Date]],"dddd")</f>
        <v>Saturday</v>
      </c>
    </row>
    <row r="395" spans="1:26" ht="14.4" x14ac:dyDescent="0.3">
      <c r="A395" t="s">
        <v>1067</v>
      </c>
      <c r="B395" t="s">
        <v>1068</v>
      </c>
      <c r="C395" s="2">
        <v>46153</v>
      </c>
      <c r="D395" t="s">
        <v>28</v>
      </c>
      <c r="E395" t="s">
        <v>43</v>
      </c>
      <c r="F395" t="s">
        <v>663</v>
      </c>
      <c r="G395" t="s">
        <v>175</v>
      </c>
      <c r="H395" t="s">
        <v>32</v>
      </c>
      <c r="I395" t="s">
        <v>33</v>
      </c>
      <c r="J395" t="s">
        <v>59</v>
      </c>
      <c r="K395" t="s">
        <v>60</v>
      </c>
      <c r="L395" t="s">
        <v>61</v>
      </c>
      <c r="M395">
        <v>1</v>
      </c>
      <c r="N395">
        <v>15570</v>
      </c>
      <c r="O395" s="2">
        <v>5</v>
      </c>
      <c r="P395" s="2">
        <v>14791.5</v>
      </c>
      <c r="Q395" s="2">
        <v>12093.88</v>
      </c>
      <c r="R395" s="2">
        <v>2697.62</v>
      </c>
      <c r="S395" t="s">
        <v>50</v>
      </c>
      <c r="T395">
        <v>4</v>
      </c>
      <c r="U395" t="s">
        <v>51</v>
      </c>
      <c r="V395" t="s">
        <v>63</v>
      </c>
      <c r="W395" s="3">
        <f>Table1[[#This Row],[Profit]]/Table1[[#This Row],[Sales]]</f>
        <v>0.18237636480411046</v>
      </c>
      <c r="X395" t="str">
        <f>IF(Table1[[#This Row],[Sales]]&gt;=30000,"High Value",IF(Table1[[#This Row],[Sales]]&gt;=15000,"Medium Value","Low Value"))</f>
        <v>Low Value</v>
      </c>
      <c r="Y395" t="str">
        <f>IF(Table1[[#This Row],[Quantity]]&gt;=3,"Bulk Order","Regular Order")</f>
        <v>Regular Order</v>
      </c>
      <c r="Z395" t="str">
        <f>TEXT(Table1[[#This Row],[Order Date]],"dddd")</f>
        <v>Monday</v>
      </c>
    </row>
    <row r="396" spans="1:26" ht="14.4" x14ac:dyDescent="0.3">
      <c r="A396" t="s">
        <v>1069</v>
      </c>
      <c r="B396" t="s">
        <v>1070</v>
      </c>
      <c r="C396" s="2">
        <v>46186</v>
      </c>
      <c r="D396" t="s">
        <v>42</v>
      </c>
      <c r="E396" t="s">
        <v>43</v>
      </c>
      <c r="F396" t="s">
        <v>411</v>
      </c>
      <c r="G396" t="s">
        <v>286</v>
      </c>
      <c r="H396" t="s">
        <v>46</v>
      </c>
      <c r="I396" t="s">
        <v>58</v>
      </c>
      <c r="J396" t="s">
        <v>47</v>
      </c>
      <c r="K396" t="s">
        <v>69</v>
      </c>
      <c r="L396" t="s">
        <v>70</v>
      </c>
      <c r="M396">
        <v>3</v>
      </c>
      <c r="N396">
        <v>8074</v>
      </c>
      <c r="O396" s="2">
        <v>5</v>
      </c>
      <c r="P396" s="2">
        <v>23010.9</v>
      </c>
      <c r="Q396" s="2">
        <v>18373</v>
      </c>
      <c r="R396" s="2">
        <v>4637.8999999999996</v>
      </c>
      <c r="S396" t="s">
        <v>81</v>
      </c>
      <c r="T396">
        <v>5</v>
      </c>
      <c r="U396" t="s">
        <v>38</v>
      </c>
      <c r="V396" t="s">
        <v>63</v>
      </c>
      <c r="W396" s="3">
        <f>Table1[[#This Row],[Profit]]/Table1[[#This Row],[Sales]]</f>
        <v>0.20155230781933775</v>
      </c>
      <c r="X396" t="str">
        <f>IF(Table1[[#This Row],[Sales]]&gt;=30000,"High Value",IF(Table1[[#This Row],[Sales]]&gt;=15000,"Medium Value","Low Value"))</f>
        <v>Medium Value</v>
      </c>
      <c r="Y396" t="str">
        <f>IF(Table1[[#This Row],[Quantity]]&gt;=3,"Bulk Order","Regular Order")</f>
        <v>Bulk Order</v>
      </c>
      <c r="Z396" t="str">
        <f>TEXT(Table1[[#This Row],[Order Date]],"dddd")</f>
        <v>Saturday</v>
      </c>
    </row>
    <row r="397" spans="1:26" ht="14.4" x14ac:dyDescent="0.3">
      <c r="A397" t="s">
        <v>1071</v>
      </c>
      <c r="B397" t="s">
        <v>1072</v>
      </c>
      <c r="C397" s="2">
        <v>46153</v>
      </c>
      <c r="D397" t="s">
        <v>28</v>
      </c>
      <c r="E397" t="s">
        <v>55</v>
      </c>
      <c r="F397" t="s">
        <v>1073</v>
      </c>
      <c r="G397" t="s">
        <v>342</v>
      </c>
      <c r="H397" t="s">
        <v>46</v>
      </c>
      <c r="I397" t="s">
        <v>33</v>
      </c>
      <c r="J397" t="s">
        <v>47</v>
      </c>
      <c r="K397" t="s">
        <v>48</v>
      </c>
      <c r="L397" t="s">
        <v>49</v>
      </c>
      <c r="M397">
        <v>1</v>
      </c>
      <c r="N397">
        <v>7499</v>
      </c>
      <c r="O397" s="2">
        <v>0</v>
      </c>
      <c r="P397" s="2">
        <v>7499</v>
      </c>
      <c r="Q397" s="2">
        <v>6099.41</v>
      </c>
      <c r="R397" s="2">
        <v>1399.59</v>
      </c>
      <c r="S397" t="s">
        <v>37</v>
      </c>
      <c r="T397">
        <v>5</v>
      </c>
      <c r="U397" t="s">
        <v>51</v>
      </c>
      <c r="V397" t="s">
        <v>52</v>
      </c>
      <c r="W397" s="3">
        <f>Table1[[#This Row],[Profit]]/Table1[[#This Row],[Sales]]</f>
        <v>0.18663688491798905</v>
      </c>
      <c r="X397" t="str">
        <f>IF(Table1[[#This Row],[Sales]]&gt;=30000,"High Value",IF(Table1[[#This Row],[Sales]]&gt;=15000,"Medium Value","Low Value"))</f>
        <v>Low Value</v>
      </c>
      <c r="Y397" t="str">
        <f>IF(Table1[[#This Row],[Quantity]]&gt;=3,"Bulk Order","Regular Order")</f>
        <v>Regular Order</v>
      </c>
      <c r="Z397" t="str">
        <f>TEXT(Table1[[#This Row],[Order Date]],"dddd")</f>
        <v>Monday</v>
      </c>
    </row>
    <row r="398" spans="1:26" ht="14.4" x14ac:dyDescent="0.3">
      <c r="A398" t="s">
        <v>1074</v>
      </c>
      <c r="B398" t="s">
        <v>1075</v>
      </c>
      <c r="C398" s="2">
        <v>46186</v>
      </c>
      <c r="D398" t="s">
        <v>42</v>
      </c>
      <c r="E398" t="s">
        <v>29</v>
      </c>
      <c r="F398" t="s">
        <v>358</v>
      </c>
      <c r="G398" t="s">
        <v>124</v>
      </c>
      <c r="H398" t="s">
        <v>46</v>
      </c>
      <c r="I398" t="s">
        <v>33</v>
      </c>
      <c r="J398" t="s">
        <v>59</v>
      </c>
      <c r="K398" t="s">
        <v>60</v>
      </c>
      <c r="L398" t="s">
        <v>61</v>
      </c>
      <c r="M398">
        <v>2</v>
      </c>
      <c r="N398">
        <v>17321</v>
      </c>
      <c r="O398" s="2">
        <v>0</v>
      </c>
      <c r="P398" s="2">
        <v>34642</v>
      </c>
      <c r="Q398" s="2">
        <v>27101.47</v>
      </c>
      <c r="R398" s="2">
        <v>7540.53</v>
      </c>
      <c r="S398" t="s">
        <v>37</v>
      </c>
      <c r="T398">
        <v>4</v>
      </c>
      <c r="U398" t="s">
        <v>51</v>
      </c>
      <c r="V398" t="s">
        <v>75</v>
      </c>
      <c r="W398" s="3">
        <f>Table1[[#This Row],[Profit]]/Table1[[#This Row],[Sales]]</f>
        <v>0.21767016915882453</v>
      </c>
      <c r="X398" t="str">
        <f>IF(Table1[[#This Row],[Sales]]&gt;=30000,"High Value",IF(Table1[[#This Row],[Sales]]&gt;=15000,"Medium Value","Low Value"))</f>
        <v>High Value</v>
      </c>
      <c r="Y398" t="str">
        <f>IF(Table1[[#This Row],[Quantity]]&gt;=3,"Bulk Order","Regular Order")</f>
        <v>Regular Order</v>
      </c>
      <c r="Z398" t="str">
        <f>TEXT(Table1[[#This Row],[Order Date]],"dddd")</f>
        <v>Saturday</v>
      </c>
    </row>
    <row r="399" spans="1:26" ht="14.4" x14ac:dyDescent="0.3">
      <c r="A399" t="s">
        <v>1076</v>
      </c>
      <c r="B399" t="s">
        <v>1077</v>
      </c>
      <c r="C399" s="2">
        <v>46153</v>
      </c>
      <c r="D399" t="s">
        <v>28</v>
      </c>
      <c r="E399" t="s">
        <v>55</v>
      </c>
      <c r="F399" t="s">
        <v>123</v>
      </c>
      <c r="G399" t="s">
        <v>74</v>
      </c>
      <c r="H399" t="s">
        <v>46</v>
      </c>
      <c r="I399" t="s">
        <v>33</v>
      </c>
      <c r="J399" t="s">
        <v>59</v>
      </c>
      <c r="K399" t="s">
        <v>60</v>
      </c>
      <c r="L399" t="s">
        <v>61</v>
      </c>
      <c r="M399">
        <v>1</v>
      </c>
      <c r="N399">
        <v>17994</v>
      </c>
      <c r="O399" s="2">
        <v>5</v>
      </c>
      <c r="P399" s="2">
        <v>17094.3</v>
      </c>
      <c r="Q399" s="2">
        <v>13446.2</v>
      </c>
      <c r="R399" s="2">
        <v>3648.1</v>
      </c>
      <c r="S399" t="s">
        <v>81</v>
      </c>
      <c r="T399">
        <v>5</v>
      </c>
      <c r="U399" t="s">
        <v>51</v>
      </c>
      <c r="V399" t="s">
        <v>63</v>
      </c>
      <c r="W399" s="3">
        <f>Table1[[#This Row],[Profit]]/Table1[[#This Row],[Sales]]</f>
        <v>0.21341031805923613</v>
      </c>
      <c r="X399" t="str">
        <f>IF(Table1[[#This Row],[Sales]]&gt;=30000,"High Value",IF(Table1[[#This Row],[Sales]]&gt;=15000,"Medium Value","Low Value"))</f>
        <v>Medium Value</v>
      </c>
      <c r="Y399" t="str">
        <f>IF(Table1[[#This Row],[Quantity]]&gt;=3,"Bulk Order","Regular Order")</f>
        <v>Regular Order</v>
      </c>
      <c r="Z399" t="str">
        <f>TEXT(Table1[[#This Row],[Order Date]],"dddd")</f>
        <v>Monday</v>
      </c>
    </row>
    <row r="400" spans="1:26" ht="14.4" x14ac:dyDescent="0.3">
      <c r="A400" t="s">
        <v>1078</v>
      </c>
      <c r="B400" t="s">
        <v>1079</v>
      </c>
      <c r="C400" s="2">
        <v>46191</v>
      </c>
      <c r="D400" t="s">
        <v>42</v>
      </c>
      <c r="E400" t="s">
        <v>196</v>
      </c>
      <c r="F400" t="s">
        <v>1080</v>
      </c>
      <c r="G400" t="s">
        <v>523</v>
      </c>
      <c r="H400" t="s">
        <v>46</v>
      </c>
      <c r="I400" t="s">
        <v>33</v>
      </c>
      <c r="J400" t="s">
        <v>47</v>
      </c>
      <c r="K400" t="s">
        <v>69</v>
      </c>
      <c r="L400" t="s">
        <v>70</v>
      </c>
      <c r="M400">
        <v>2</v>
      </c>
      <c r="N400">
        <v>7784</v>
      </c>
      <c r="O400" s="2">
        <v>10</v>
      </c>
      <c r="P400" s="2">
        <v>14011.2</v>
      </c>
      <c r="Q400" s="2">
        <v>11471.76</v>
      </c>
      <c r="R400" s="2">
        <v>2539.44</v>
      </c>
      <c r="S400" t="s">
        <v>37</v>
      </c>
      <c r="T400">
        <v>4</v>
      </c>
      <c r="U400" t="s">
        <v>51</v>
      </c>
      <c r="V400" t="s">
        <v>63</v>
      </c>
      <c r="W400" s="3">
        <f>Table1[[#This Row],[Profit]]/Table1[[#This Row],[Sales]]</f>
        <v>0.18124357656731757</v>
      </c>
      <c r="X400" t="str">
        <f>IF(Table1[[#This Row],[Sales]]&gt;=30000,"High Value",IF(Table1[[#This Row],[Sales]]&gt;=15000,"Medium Value","Low Value"))</f>
        <v>Low Value</v>
      </c>
      <c r="Y400" t="str">
        <f>IF(Table1[[#This Row],[Quantity]]&gt;=3,"Bulk Order","Regular Order")</f>
        <v>Regular Order</v>
      </c>
      <c r="Z400" t="str">
        <f>TEXT(Table1[[#This Row],[Order Date]],"dddd")</f>
        <v>Thursday</v>
      </c>
    </row>
    <row r="401" spans="1:26" ht="14.4" x14ac:dyDescent="0.3">
      <c r="A401" t="s">
        <v>1081</v>
      </c>
      <c r="B401" t="s">
        <v>1082</v>
      </c>
      <c r="C401" s="2">
        <v>46191</v>
      </c>
      <c r="D401" t="s">
        <v>42</v>
      </c>
      <c r="E401" t="s">
        <v>102</v>
      </c>
      <c r="F401" t="s">
        <v>30</v>
      </c>
      <c r="G401" t="s">
        <v>611</v>
      </c>
      <c r="H401" t="s">
        <v>46</v>
      </c>
      <c r="I401" t="s">
        <v>33</v>
      </c>
      <c r="J401" t="s">
        <v>59</v>
      </c>
      <c r="K401" t="s">
        <v>60</v>
      </c>
      <c r="L401" t="s">
        <v>61</v>
      </c>
      <c r="M401">
        <v>1</v>
      </c>
      <c r="N401">
        <v>16431</v>
      </c>
      <c r="O401" s="2">
        <v>10</v>
      </c>
      <c r="P401" s="2">
        <v>14787.9</v>
      </c>
      <c r="Q401" s="2">
        <v>11908.9</v>
      </c>
      <c r="R401" s="2">
        <v>2879</v>
      </c>
      <c r="S401" t="s">
        <v>50</v>
      </c>
      <c r="T401">
        <v>5</v>
      </c>
      <c r="U401" t="s">
        <v>51</v>
      </c>
      <c r="V401" t="s">
        <v>75</v>
      </c>
      <c r="W401" s="3">
        <f>Table1[[#This Row],[Profit]]/Table1[[#This Row],[Sales]]</f>
        <v>0.19468619614684979</v>
      </c>
      <c r="X401" t="str">
        <f>IF(Table1[[#This Row],[Sales]]&gt;=30000,"High Value",IF(Table1[[#This Row],[Sales]]&gt;=15000,"Medium Value","Low Value"))</f>
        <v>Low Value</v>
      </c>
      <c r="Y401" t="str">
        <f>IF(Table1[[#This Row],[Quantity]]&gt;=3,"Bulk Order","Regular Order")</f>
        <v>Regular Order</v>
      </c>
      <c r="Z401" t="str">
        <f>TEXT(Table1[[#This Row],[Order Date]],"dddd")</f>
        <v>Thursday</v>
      </c>
    </row>
    <row r="402" spans="1:26" ht="14.4" x14ac:dyDescent="0.3">
      <c r="A402" t="s">
        <v>1083</v>
      </c>
      <c r="B402" t="s">
        <v>1084</v>
      </c>
      <c r="C402" s="2">
        <v>46180</v>
      </c>
      <c r="D402" t="s">
        <v>42</v>
      </c>
      <c r="E402" t="s">
        <v>55</v>
      </c>
      <c r="F402" t="s">
        <v>1011</v>
      </c>
      <c r="G402" t="s">
        <v>134</v>
      </c>
      <c r="H402" t="s">
        <v>46</v>
      </c>
      <c r="I402" t="s">
        <v>33</v>
      </c>
      <c r="J402" t="s">
        <v>47</v>
      </c>
      <c r="K402" t="s">
        <v>48</v>
      </c>
      <c r="L402" t="s">
        <v>49</v>
      </c>
      <c r="M402">
        <v>2</v>
      </c>
      <c r="N402">
        <v>7628</v>
      </c>
      <c r="O402" s="2">
        <v>5</v>
      </c>
      <c r="P402" s="2">
        <v>14493.2</v>
      </c>
      <c r="Q402" s="2">
        <v>11879.34</v>
      </c>
      <c r="R402" s="2">
        <v>2613.86</v>
      </c>
      <c r="S402" t="s">
        <v>50</v>
      </c>
      <c r="T402">
        <v>4</v>
      </c>
      <c r="U402" t="s">
        <v>51</v>
      </c>
      <c r="V402" t="s">
        <v>63</v>
      </c>
      <c r="W402" s="3">
        <f>Table1[[#This Row],[Profit]]/Table1[[#This Row],[Sales]]</f>
        <v>0.18035078519581596</v>
      </c>
      <c r="X402" t="str">
        <f>IF(Table1[[#This Row],[Sales]]&gt;=30000,"High Value",IF(Table1[[#This Row],[Sales]]&gt;=15000,"Medium Value","Low Value"))</f>
        <v>Low Value</v>
      </c>
      <c r="Y402" t="str">
        <f>IF(Table1[[#This Row],[Quantity]]&gt;=3,"Bulk Order","Regular Order")</f>
        <v>Regular Order</v>
      </c>
      <c r="Z402" t="str">
        <f>TEXT(Table1[[#This Row],[Order Date]],"dddd")</f>
        <v>Sunday</v>
      </c>
    </row>
    <row r="403" spans="1:26" ht="14.4" x14ac:dyDescent="0.3">
      <c r="A403" t="s">
        <v>1085</v>
      </c>
      <c r="B403" t="s">
        <v>1086</v>
      </c>
      <c r="C403" s="2">
        <v>46179</v>
      </c>
      <c r="D403" t="s">
        <v>42</v>
      </c>
      <c r="E403" t="s">
        <v>55</v>
      </c>
      <c r="F403" t="s">
        <v>598</v>
      </c>
      <c r="G403" t="s">
        <v>375</v>
      </c>
      <c r="H403" t="s">
        <v>32</v>
      </c>
      <c r="I403" t="s">
        <v>33</v>
      </c>
      <c r="J403" t="s">
        <v>59</v>
      </c>
      <c r="K403" t="s">
        <v>60</v>
      </c>
      <c r="L403" t="s">
        <v>61</v>
      </c>
      <c r="M403">
        <v>1</v>
      </c>
      <c r="N403">
        <v>17276</v>
      </c>
      <c r="O403" s="2">
        <v>5</v>
      </c>
      <c r="P403" s="2">
        <v>16412.2</v>
      </c>
      <c r="Q403" s="2">
        <v>13033.37</v>
      </c>
      <c r="R403" s="2">
        <v>3378.83</v>
      </c>
      <c r="S403" t="s">
        <v>50</v>
      </c>
      <c r="T403">
        <v>4</v>
      </c>
      <c r="U403" t="s">
        <v>51</v>
      </c>
      <c r="V403" t="s">
        <v>52</v>
      </c>
      <c r="W403" s="3">
        <f>Table1[[#This Row],[Profit]]/Table1[[#This Row],[Sales]]</f>
        <v>0.20587307003326791</v>
      </c>
      <c r="X403" t="str">
        <f>IF(Table1[[#This Row],[Sales]]&gt;=30000,"High Value",IF(Table1[[#This Row],[Sales]]&gt;=15000,"Medium Value","Low Value"))</f>
        <v>Medium Value</v>
      </c>
      <c r="Y403" t="str">
        <f>IF(Table1[[#This Row],[Quantity]]&gt;=3,"Bulk Order","Regular Order")</f>
        <v>Regular Order</v>
      </c>
      <c r="Z403" t="str">
        <f>TEXT(Table1[[#This Row],[Order Date]],"dddd")</f>
        <v>Saturday</v>
      </c>
    </row>
    <row r="404" spans="1:26" ht="14.4" x14ac:dyDescent="0.3">
      <c r="A404" t="s">
        <v>1087</v>
      </c>
      <c r="B404" t="s">
        <v>1088</v>
      </c>
      <c r="C404" s="2">
        <v>46161</v>
      </c>
      <c r="D404" t="s">
        <v>28</v>
      </c>
      <c r="E404" t="s">
        <v>66</v>
      </c>
      <c r="F404" t="s">
        <v>570</v>
      </c>
      <c r="G404" t="s">
        <v>68</v>
      </c>
      <c r="H404" t="s">
        <v>32</v>
      </c>
      <c r="I404" t="s">
        <v>58</v>
      </c>
      <c r="J404" t="s">
        <v>59</v>
      </c>
      <c r="K404" t="s">
        <v>60</v>
      </c>
      <c r="L404" t="s">
        <v>61</v>
      </c>
      <c r="M404">
        <v>4</v>
      </c>
      <c r="N404">
        <v>16315</v>
      </c>
      <c r="O404" s="2">
        <v>0</v>
      </c>
      <c r="P404" s="2">
        <v>65260</v>
      </c>
      <c r="Q404" s="2">
        <v>52850.01</v>
      </c>
      <c r="R404" s="2">
        <v>12409.99</v>
      </c>
      <c r="S404" t="s">
        <v>50</v>
      </c>
      <c r="T404">
        <v>5</v>
      </c>
      <c r="U404" t="s">
        <v>51</v>
      </c>
      <c r="V404" t="s">
        <v>75</v>
      </c>
      <c r="W404" s="3">
        <f>Table1[[#This Row],[Profit]]/Table1[[#This Row],[Sales]]</f>
        <v>0.19016227398099908</v>
      </c>
      <c r="X404" t="str">
        <f>IF(Table1[[#This Row],[Sales]]&gt;=30000,"High Value",IF(Table1[[#This Row],[Sales]]&gt;=15000,"Medium Value","Low Value"))</f>
        <v>High Value</v>
      </c>
      <c r="Y404" t="str">
        <f>IF(Table1[[#This Row],[Quantity]]&gt;=3,"Bulk Order","Regular Order")</f>
        <v>Bulk Order</v>
      </c>
      <c r="Z404" t="str">
        <f>TEXT(Table1[[#This Row],[Order Date]],"dddd")</f>
        <v>Tuesday</v>
      </c>
    </row>
    <row r="405" spans="1:26" ht="14.4" x14ac:dyDescent="0.3">
      <c r="A405" t="s">
        <v>1089</v>
      </c>
      <c r="B405" t="s">
        <v>1090</v>
      </c>
      <c r="C405" s="2">
        <v>46190</v>
      </c>
      <c r="D405" t="s">
        <v>42</v>
      </c>
      <c r="E405" t="s">
        <v>55</v>
      </c>
      <c r="F405" t="s">
        <v>189</v>
      </c>
      <c r="G405" t="s">
        <v>218</v>
      </c>
      <c r="H405" t="s">
        <v>46</v>
      </c>
      <c r="I405" t="s">
        <v>33</v>
      </c>
      <c r="J405" t="s">
        <v>59</v>
      </c>
      <c r="K405" t="s">
        <v>60</v>
      </c>
      <c r="L405" t="s">
        <v>61</v>
      </c>
      <c r="M405">
        <v>2</v>
      </c>
      <c r="N405">
        <v>16234</v>
      </c>
      <c r="O405" s="2">
        <v>5</v>
      </c>
      <c r="P405" s="2">
        <v>30844.6</v>
      </c>
      <c r="Q405" s="2">
        <v>25089.56</v>
      </c>
      <c r="R405" s="2">
        <v>5755.04</v>
      </c>
      <c r="S405" t="s">
        <v>37</v>
      </c>
      <c r="T405">
        <v>4</v>
      </c>
      <c r="U405" t="s">
        <v>51</v>
      </c>
      <c r="V405" t="s">
        <v>52</v>
      </c>
      <c r="W405" s="3">
        <f>Table1[[#This Row],[Profit]]/Table1[[#This Row],[Sales]]</f>
        <v>0.1865817679593835</v>
      </c>
      <c r="X405" t="str">
        <f>IF(Table1[[#This Row],[Sales]]&gt;=30000,"High Value",IF(Table1[[#This Row],[Sales]]&gt;=15000,"Medium Value","Low Value"))</f>
        <v>High Value</v>
      </c>
      <c r="Y405" t="str">
        <f>IF(Table1[[#This Row],[Quantity]]&gt;=3,"Bulk Order","Regular Order")</f>
        <v>Regular Order</v>
      </c>
      <c r="Z405" t="str">
        <f>TEXT(Table1[[#This Row],[Order Date]],"dddd")</f>
        <v>Wednesday</v>
      </c>
    </row>
    <row r="406" spans="1:26" ht="14.4" x14ac:dyDescent="0.3">
      <c r="A406" t="s">
        <v>1091</v>
      </c>
      <c r="B406" t="s">
        <v>1092</v>
      </c>
      <c r="C406" s="2">
        <v>46156</v>
      </c>
      <c r="D406" t="s">
        <v>28</v>
      </c>
      <c r="E406" t="s">
        <v>29</v>
      </c>
      <c r="F406" t="s">
        <v>741</v>
      </c>
      <c r="G406" t="s">
        <v>375</v>
      </c>
      <c r="H406" t="s">
        <v>32</v>
      </c>
      <c r="I406" t="s">
        <v>33</v>
      </c>
      <c r="J406" t="s">
        <v>59</v>
      </c>
      <c r="K406" t="s">
        <v>60</v>
      </c>
      <c r="L406" t="s">
        <v>61</v>
      </c>
      <c r="M406">
        <v>2</v>
      </c>
      <c r="N406">
        <v>16337</v>
      </c>
      <c r="O406" s="2">
        <v>5</v>
      </c>
      <c r="P406" s="2">
        <v>31040.3</v>
      </c>
      <c r="Q406" s="2">
        <v>24932.36</v>
      </c>
      <c r="R406" s="2">
        <v>6107.94</v>
      </c>
      <c r="S406" t="s">
        <v>37</v>
      </c>
      <c r="T406">
        <v>5</v>
      </c>
      <c r="U406" t="s">
        <v>51</v>
      </c>
      <c r="V406" t="s">
        <v>39</v>
      </c>
      <c r="W406" s="3">
        <f>Table1[[#This Row],[Profit]]/Table1[[#This Row],[Sales]]</f>
        <v>0.19677451571022186</v>
      </c>
      <c r="X406" t="str">
        <f>IF(Table1[[#This Row],[Sales]]&gt;=30000,"High Value",IF(Table1[[#This Row],[Sales]]&gt;=15000,"Medium Value","Low Value"))</f>
        <v>High Value</v>
      </c>
      <c r="Y406" t="str">
        <f>IF(Table1[[#This Row],[Quantity]]&gt;=3,"Bulk Order","Regular Order")</f>
        <v>Regular Order</v>
      </c>
      <c r="Z406" t="str">
        <f>TEXT(Table1[[#This Row],[Order Date]],"dddd")</f>
        <v>Thursday</v>
      </c>
    </row>
    <row r="407" spans="1:26" ht="14.4" x14ac:dyDescent="0.3">
      <c r="A407" t="s">
        <v>1093</v>
      </c>
      <c r="B407" t="s">
        <v>1094</v>
      </c>
      <c r="C407" s="2">
        <v>46178</v>
      </c>
      <c r="D407" t="s">
        <v>42</v>
      </c>
      <c r="E407" t="s">
        <v>43</v>
      </c>
      <c r="F407" t="s">
        <v>1095</v>
      </c>
      <c r="G407" t="s">
        <v>261</v>
      </c>
      <c r="H407" t="s">
        <v>32</v>
      </c>
      <c r="I407" t="s">
        <v>33</v>
      </c>
      <c r="J407" t="s">
        <v>59</v>
      </c>
      <c r="K407" t="s">
        <v>60</v>
      </c>
      <c r="L407" t="s">
        <v>61</v>
      </c>
      <c r="M407">
        <v>2</v>
      </c>
      <c r="N407">
        <v>17186</v>
      </c>
      <c r="O407" s="2">
        <v>5</v>
      </c>
      <c r="P407" s="2">
        <v>32653.4</v>
      </c>
      <c r="Q407" s="2">
        <v>26733.79</v>
      </c>
      <c r="R407" s="2">
        <v>5919.61</v>
      </c>
      <c r="S407" t="s">
        <v>37</v>
      </c>
      <c r="T407">
        <v>5</v>
      </c>
      <c r="U407" t="s">
        <v>51</v>
      </c>
      <c r="V407" t="s">
        <v>63</v>
      </c>
      <c r="W407" s="3">
        <f>Table1[[#This Row],[Profit]]/Table1[[#This Row],[Sales]]</f>
        <v>0.18128617540593014</v>
      </c>
      <c r="X407" t="str">
        <f>IF(Table1[[#This Row],[Sales]]&gt;=30000,"High Value",IF(Table1[[#This Row],[Sales]]&gt;=15000,"Medium Value","Low Value"))</f>
        <v>High Value</v>
      </c>
      <c r="Y407" t="str">
        <f>IF(Table1[[#This Row],[Quantity]]&gt;=3,"Bulk Order","Regular Order")</f>
        <v>Regular Order</v>
      </c>
      <c r="Z407" t="str">
        <f>TEXT(Table1[[#This Row],[Order Date]],"dddd")</f>
        <v>Friday</v>
      </c>
    </row>
    <row r="408" spans="1:26" ht="14.4" x14ac:dyDescent="0.3">
      <c r="A408" t="s">
        <v>1096</v>
      </c>
      <c r="B408" t="s">
        <v>1097</v>
      </c>
      <c r="C408" s="2">
        <v>46185</v>
      </c>
      <c r="D408" t="s">
        <v>42</v>
      </c>
      <c r="E408" t="s">
        <v>66</v>
      </c>
      <c r="F408" t="s">
        <v>1023</v>
      </c>
      <c r="G408" t="s">
        <v>283</v>
      </c>
      <c r="H408" t="s">
        <v>32</v>
      </c>
      <c r="I408" t="s">
        <v>33</v>
      </c>
      <c r="J408" t="s">
        <v>169</v>
      </c>
      <c r="K408" t="s">
        <v>170</v>
      </c>
      <c r="L408" t="s">
        <v>171</v>
      </c>
      <c r="M408">
        <v>1</v>
      </c>
      <c r="N408">
        <v>11331</v>
      </c>
      <c r="O408" s="2">
        <v>5</v>
      </c>
      <c r="P408" s="2">
        <v>10764.45</v>
      </c>
      <c r="Q408" s="2">
        <v>8524.6</v>
      </c>
      <c r="R408" s="2">
        <v>2239.85</v>
      </c>
      <c r="S408" t="s">
        <v>81</v>
      </c>
      <c r="T408">
        <v>4</v>
      </c>
      <c r="U408" t="s">
        <v>51</v>
      </c>
      <c r="V408" t="s">
        <v>116</v>
      </c>
      <c r="W408" s="3">
        <f>Table1[[#This Row],[Profit]]/Table1[[#This Row],[Sales]]</f>
        <v>0.2080784433946927</v>
      </c>
      <c r="X408" t="str">
        <f>IF(Table1[[#This Row],[Sales]]&gt;=30000,"High Value",IF(Table1[[#This Row],[Sales]]&gt;=15000,"Medium Value","Low Value"))</f>
        <v>Low Value</v>
      </c>
      <c r="Y408" t="str">
        <f>IF(Table1[[#This Row],[Quantity]]&gt;=3,"Bulk Order","Regular Order")</f>
        <v>Regular Order</v>
      </c>
      <c r="Z408" t="str">
        <f>TEXT(Table1[[#This Row],[Order Date]],"dddd")</f>
        <v>Friday</v>
      </c>
    </row>
    <row r="409" spans="1:26" ht="14.4" x14ac:dyDescent="0.3">
      <c r="A409" t="s">
        <v>1098</v>
      </c>
      <c r="B409" t="s">
        <v>1099</v>
      </c>
      <c r="C409" s="2">
        <v>46154</v>
      </c>
      <c r="D409" t="s">
        <v>28</v>
      </c>
      <c r="E409" t="s">
        <v>133</v>
      </c>
      <c r="F409" t="s">
        <v>325</v>
      </c>
      <c r="G409" t="s">
        <v>211</v>
      </c>
      <c r="H409" t="s">
        <v>32</v>
      </c>
      <c r="I409" t="s">
        <v>58</v>
      </c>
      <c r="J409" t="s">
        <v>34</v>
      </c>
      <c r="K409" t="s">
        <v>35</v>
      </c>
      <c r="L409" t="s">
        <v>36</v>
      </c>
      <c r="M409">
        <v>4</v>
      </c>
      <c r="N409">
        <v>11800</v>
      </c>
      <c r="O409" s="2">
        <v>10</v>
      </c>
      <c r="P409" s="2">
        <v>42480</v>
      </c>
      <c r="Q409" s="2">
        <v>33795.17</v>
      </c>
      <c r="R409" s="2">
        <v>8684.83</v>
      </c>
      <c r="S409" t="s">
        <v>37</v>
      </c>
      <c r="T409">
        <v>5</v>
      </c>
      <c r="U409" t="s">
        <v>51</v>
      </c>
      <c r="V409" t="s">
        <v>52</v>
      </c>
      <c r="W409" s="3">
        <f>Table1[[#This Row],[Profit]]/Table1[[#This Row],[Sales]]</f>
        <v>0.20444515065913371</v>
      </c>
      <c r="X409" t="str">
        <f>IF(Table1[[#This Row],[Sales]]&gt;=30000,"High Value",IF(Table1[[#This Row],[Sales]]&gt;=15000,"Medium Value","Low Value"))</f>
        <v>High Value</v>
      </c>
      <c r="Y409" t="str">
        <f>IF(Table1[[#This Row],[Quantity]]&gt;=3,"Bulk Order","Regular Order")</f>
        <v>Bulk Order</v>
      </c>
      <c r="Z409" t="str">
        <f>TEXT(Table1[[#This Row],[Order Date]],"dddd")</f>
        <v>Tuesday</v>
      </c>
    </row>
    <row r="410" spans="1:26" ht="14.4" x14ac:dyDescent="0.3">
      <c r="A410" t="s">
        <v>1100</v>
      </c>
      <c r="B410" t="s">
        <v>1101</v>
      </c>
      <c r="C410" s="2">
        <v>46156</v>
      </c>
      <c r="D410" t="s">
        <v>28</v>
      </c>
      <c r="E410" t="s">
        <v>133</v>
      </c>
      <c r="F410" t="s">
        <v>114</v>
      </c>
      <c r="G410" t="s">
        <v>85</v>
      </c>
      <c r="H410" t="s">
        <v>32</v>
      </c>
      <c r="I410" t="s">
        <v>33</v>
      </c>
      <c r="J410" t="s">
        <v>59</v>
      </c>
      <c r="K410" t="s">
        <v>60</v>
      </c>
      <c r="L410" t="s">
        <v>61</v>
      </c>
      <c r="M410">
        <v>1</v>
      </c>
      <c r="N410">
        <v>16616</v>
      </c>
      <c r="O410" s="2">
        <v>0</v>
      </c>
      <c r="P410" s="2">
        <v>16616</v>
      </c>
      <c r="Q410" s="2">
        <v>13346.32</v>
      </c>
      <c r="R410" s="2">
        <v>3269.68</v>
      </c>
      <c r="S410" t="s">
        <v>81</v>
      </c>
      <c r="T410">
        <v>5</v>
      </c>
      <c r="U410" t="s">
        <v>51</v>
      </c>
      <c r="V410" t="s">
        <v>52</v>
      </c>
      <c r="W410" s="3">
        <f>Table1[[#This Row],[Profit]]/Table1[[#This Row],[Sales]]</f>
        <v>0.19677900818488203</v>
      </c>
      <c r="X410" t="str">
        <f>IF(Table1[[#This Row],[Sales]]&gt;=30000,"High Value",IF(Table1[[#This Row],[Sales]]&gt;=15000,"Medium Value","Low Value"))</f>
        <v>Medium Value</v>
      </c>
      <c r="Y410" t="str">
        <f>IF(Table1[[#This Row],[Quantity]]&gt;=3,"Bulk Order","Regular Order")</f>
        <v>Regular Order</v>
      </c>
      <c r="Z410" t="str">
        <f>TEXT(Table1[[#This Row],[Order Date]],"dddd")</f>
        <v>Thursday</v>
      </c>
    </row>
    <row r="411" spans="1:26" ht="14.4" x14ac:dyDescent="0.3">
      <c r="A411" t="s">
        <v>1102</v>
      </c>
      <c r="B411" t="s">
        <v>1103</v>
      </c>
      <c r="C411" s="2">
        <v>46150</v>
      </c>
      <c r="D411" t="s">
        <v>28</v>
      </c>
      <c r="E411" t="s">
        <v>55</v>
      </c>
      <c r="F411" t="s">
        <v>791</v>
      </c>
      <c r="G411" t="s">
        <v>204</v>
      </c>
      <c r="H411" t="s">
        <v>46</v>
      </c>
      <c r="I411" t="s">
        <v>33</v>
      </c>
      <c r="J411" t="s">
        <v>34</v>
      </c>
      <c r="K411" t="s">
        <v>35</v>
      </c>
      <c r="L411" t="s">
        <v>36</v>
      </c>
      <c r="M411">
        <v>1</v>
      </c>
      <c r="N411">
        <v>11769</v>
      </c>
      <c r="O411" s="2">
        <v>0</v>
      </c>
      <c r="P411" s="2">
        <v>11769</v>
      </c>
      <c r="Q411" s="2">
        <v>9516.52</v>
      </c>
      <c r="R411" s="2">
        <v>2252.48</v>
      </c>
      <c r="S411" t="s">
        <v>37</v>
      </c>
      <c r="T411">
        <v>4</v>
      </c>
      <c r="U411" t="s">
        <v>51</v>
      </c>
      <c r="V411" t="s">
        <v>52</v>
      </c>
      <c r="W411" s="3">
        <f>Table1[[#This Row],[Profit]]/Table1[[#This Row],[Sales]]</f>
        <v>0.1913909423060583</v>
      </c>
      <c r="X411" t="str">
        <f>IF(Table1[[#This Row],[Sales]]&gt;=30000,"High Value",IF(Table1[[#This Row],[Sales]]&gt;=15000,"Medium Value","Low Value"))</f>
        <v>Low Value</v>
      </c>
      <c r="Y411" t="str">
        <f>IF(Table1[[#This Row],[Quantity]]&gt;=3,"Bulk Order","Regular Order")</f>
        <v>Regular Order</v>
      </c>
      <c r="Z411" t="str">
        <f>TEXT(Table1[[#This Row],[Order Date]],"dddd")</f>
        <v>Friday</v>
      </c>
    </row>
    <row r="412" spans="1:26" ht="14.4" x14ac:dyDescent="0.3">
      <c r="A412" t="s">
        <v>1104</v>
      </c>
      <c r="B412" t="s">
        <v>1105</v>
      </c>
      <c r="C412" s="2">
        <v>46190</v>
      </c>
      <c r="D412" t="s">
        <v>42</v>
      </c>
      <c r="E412" t="s">
        <v>55</v>
      </c>
      <c r="F412" t="s">
        <v>248</v>
      </c>
      <c r="G412" t="s">
        <v>311</v>
      </c>
      <c r="H412" t="s">
        <v>46</v>
      </c>
      <c r="I412" t="s">
        <v>33</v>
      </c>
      <c r="J412" t="s">
        <v>199</v>
      </c>
      <c r="K412" t="s">
        <v>200</v>
      </c>
      <c r="L412" t="s">
        <v>130</v>
      </c>
      <c r="M412">
        <v>1</v>
      </c>
      <c r="N412">
        <v>1063</v>
      </c>
      <c r="O412" s="2">
        <v>0</v>
      </c>
      <c r="P412" s="2">
        <v>1063</v>
      </c>
      <c r="Q412" s="2">
        <v>692.34</v>
      </c>
      <c r="R412" s="2">
        <v>370.66</v>
      </c>
      <c r="S412" t="s">
        <v>37</v>
      </c>
      <c r="T412">
        <v>5</v>
      </c>
      <c r="U412" t="s">
        <v>51</v>
      </c>
      <c r="V412" t="s">
        <v>75</v>
      </c>
      <c r="W412" s="3">
        <f>Table1[[#This Row],[Profit]]/Table1[[#This Row],[Sales]]</f>
        <v>0.34869238005644404</v>
      </c>
      <c r="X412" t="str">
        <f>IF(Table1[[#This Row],[Sales]]&gt;=30000,"High Value",IF(Table1[[#This Row],[Sales]]&gt;=15000,"Medium Value","Low Value"))</f>
        <v>Low Value</v>
      </c>
      <c r="Y412" t="str">
        <f>IF(Table1[[#This Row],[Quantity]]&gt;=3,"Bulk Order","Regular Order")</f>
        <v>Regular Order</v>
      </c>
      <c r="Z412" t="str">
        <f>TEXT(Table1[[#This Row],[Order Date]],"dddd")</f>
        <v>Wednesday</v>
      </c>
    </row>
    <row r="413" spans="1:26" ht="14.4" x14ac:dyDescent="0.3">
      <c r="A413" t="s">
        <v>1106</v>
      </c>
      <c r="B413" t="s">
        <v>1107</v>
      </c>
      <c r="C413" s="2">
        <v>46149</v>
      </c>
      <c r="D413" t="s">
        <v>28</v>
      </c>
      <c r="E413" t="s">
        <v>133</v>
      </c>
      <c r="F413" t="s">
        <v>366</v>
      </c>
      <c r="G413" t="s">
        <v>454</v>
      </c>
      <c r="H413" t="s">
        <v>32</v>
      </c>
      <c r="I413" t="s">
        <v>33</v>
      </c>
      <c r="J413" t="s">
        <v>59</v>
      </c>
      <c r="K413" t="s">
        <v>60</v>
      </c>
      <c r="L413" t="s">
        <v>61</v>
      </c>
      <c r="M413">
        <v>2</v>
      </c>
      <c r="N413">
        <v>15646</v>
      </c>
      <c r="O413" s="2">
        <v>5</v>
      </c>
      <c r="P413" s="2">
        <v>29727.4</v>
      </c>
      <c r="Q413" s="2">
        <v>23565.65</v>
      </c>
      <c r="R413" s="2">
        <v>6161.75</v>
      </c>
      <c r="S413" t="s">
        <v>37</v>
      </c>
      <c r="T413">
        <v>4</v>
      </c>
      <c r="U413" t="s">
        <v>51</v>
      </c>
      <c r="V413" t="s">
        <v>86</v>
      </c>
      <c r="W413" s="3">
        <f>Table1[[#This Row],[Profit]]/Table1[[#This Row],[Sales]]</f>
        <v>0.20727510646743408</v>
      </c>
      <c r="X413" t="str">
        <f>IF(Table1[[#This Row],[Sales]]&gt;=30000,"High Value",IF(Table1[[#This Row],[Sales]]&gt;=15000,"Medium Value","Low Value"))</f>
        <v>Medium Value</v>
      </c>
      <c r="Y413" t="str">
        <f>IF(Table1[[#This Row],[Quantity]]&gt;=3,"Bulk Order","Regular Order")</f>
        <v>Regular Order</v>
      </c>
      <c r="Z413" t="str">
        <f>TEXT(Table1[[#This Row],[Order Date]],"dddd")</f>
        <v>Thursday</v>
      </c>
    </row>
    <row r="414" spans="1:26" ht="14.4" x14ac:dyDescent="0.3">
      <c r="A414" t="s">
        <v>1108</v>
      </c>
      <c r="B414" t="s">
        <v>1109</v>
      </c>
      <c r="C414" s="2">
        <v>46144</v>
      </c>
      <c r="D414" t="s">
        <v>28</v>
      </c>
      <c r="E414" t="s">
        <v>43</v>
      </c>
      <c r="F414" t="s">
        <v>338</v>
      </c>
      <c r="G414" t="s">
        <v>211</v>
      </c>
      <c r="H414" t="s">
        <v>32</v>
      </c>
      <c r="I414" t="s">
        <v>58</v>
      </c>
      <c r="J414" t="s">
        <v>59</v>
      </c>
      <c r="K414" t="s">
        <v>95</v>
      </c>
      <c r="L414" t="s">
        <v>36</v>
      </c>
      <c r="M414">
        <v>5</v>
      </c>
      <c r="N414">
        <v>15951</v>
      </c>
      <c r="O414" s="2">
        <v>0</v>
      </c>
      <c r="P414" s="2">
        <v>79755</v>
      </c>
      <c r="Q414" s="2">
        <v>63945.16</v>
      </c>
      <c r="R414" s="2">
        <v>15809.84</v>
      </c>
      <c r="S414" t="s">
        <v>50</v>
      </c>
      <c r="T414">
        <v>5</v>
      </c>
      <c r="U414" t="s">
        <v>51</v>
      </c>
      <c r="V414" t="s">
        <v>52</v>
      </c>
      <c r="W414" s="3">
        <f>Table1[[#This Row],[Profit]]/Table1[[#This Row],[Sales]]</f>
        <v>0.19823007961883268</v>
      </c>
      <c r="X414" t="str">
        <f>IF(Table1[[#This Row],[Sales]]&gt;=30000,"High Value",IF(Table1[[#This Row],[Sales]]&gt;=15000,"Medium Value","Low Value"))</f>
        <v>High Value</v>
      </c>
      <c r="Y414" t="str">
        <f>IF(Table1[[#This Row],[Quantity]]&gt;=3,"Bulk Order","Regular Order")</f>
        <v>Bulk Order</v>
      </c>
      <c r="Z414" t="str">
        <f>TEXT(Table1[[#This Row],[Order Date]],"dddd")</f>
        <v>Saturday</v>
      </c>
    </row>
    <row r="415" spans="1:26" ht="14.4" x14ac:dyDescent="0.3">
      <c r="A415" t="s">
        <v>1110</v>
      </c>
      <c r="B415" t="s">
        <v>1111</v>
      </c>
      <c r="C415" s="2">
        <v>46152</v>
      </c>
      <c r="D415" t="s">
        <v>28</v>
      </c>
      <c r="E415" t="s">
        <v>196</v>
      </c>
      <c r="F415" t="s">
        <v>685</v>
      </c>
      <c r="G415" t="s">
        <v>138</v>
      </c>
      <c r="H415" t="s">
        <v>32</v>
      </c>
      <c r="I415" t="s">
        <v>33</v>
      </c>
      <c r="J415" t="s">
        <v>59</v>
      </c>
      <c r="K415" t="s">
        <v>95</v>
      </c>
      <c r="L415" t="s">
        <v>36</v>
      </c>
      <c r="M415">
        <v>1</v>
      </c>
      <c r="N415">
        <v>14804</v>
      </c>
      <c r="O415" s="2">
        <v>0</v>
      </c>
      <c r="P415" s="2">
        <v>14804</v>
      </c>
      <c r="Q415" s="2">
        <v>11562.54</v>
      </c>
      <c r="R415" s="2">
        <v>3241.46</v>
      </c>
      <c r="S415" t="s">
        <v>37</v>
      </c>
      <c r="T415">
        <v>4</v>
      </c>
      <c r="U415" t="s">
        <v>51</v>
      </c>
      <c r="V415" t="s">
        <v>86</v>
      </c>
      <c r="W415" s="3">
        <f>Table1[[#This Row],[Profit]]/Table1[[#This Row],[Sales]]</f>
        <v>0.21895838962442582</v>
      </c>
      <c r="X415" t="str">
        <f>IF(Table1[[#This Row],[Sales]]&gt;=30000,"High Value",IF(Table1[[#This Row],[Sales]]&gt;=15000,"Medium Value","Low Value"))</f>
        <v>Low Value</v>
      </c>
      <c r="Y415" t="str">
        <f>IF(Table1[[#This Row],[Quantity]]&gt;=3,"Bulk Order","Regular Order")</f>
        <v>Regular Order</v>
      </c>
      <c r="Z415" t="str">
        <f>TEXT(Table1[[#This Row],[Order Date]],"dddd")</f>
        <v>Sunday</v>
      </c>
    </row>
    <row r="416" spans="1:26" ht="14.4" x14ac:dyDescent="0.3">
      <c r="A416" t="s">
        <v>1112</v>
      </c>
      <c r="B416" t="s">
        <v>1113</v>
      </c>
      <c r="C416" s="2">
        <v>46192</v>
      </c>
      <c r="D416" t="s">
        <v>42</v>
      </c>
      <c r="E416" t="s">
        <v>133</v>
      </c>
      <c r="F416" t="s">
        <v>44</v>
      </c>
      <c r="G416" t="s">
        <v>229</v>
      </c>
      <c r="H416" t="s">
        <v>32</v>
      </c>
      <c r="I416" t="s">
        <v>33</v>
      </c>
      <c r="J416" t="s">
        <v>59</v>
      </c>
      <c r="K416" t="s">
        <v>95</v>
      </c>
      <c r="L416" t="s">
        <v>36</v>
      </c>
      <c r="M416">
        <v>1</v>
      </c>
      <c r="N416">
        <v>14953</v>
      </c>
      <c r="O416" s="2">
        <v>5</v>
      </c>
      <c r="P416" s="2">
        <v>14205.35</v>
      </c>
      <c r="Q416" s="2">
        <v>11530.83</v>
      </c>
      <c r="R416" s="2">
        <v>2674.52</v>
      </c>
      <c r="S416" t="s">
        <v>37</v>
      </c>
      <c r="T416">
        <v>4</v>
      </c>
      <c r="U416" t="s">
        <v>51</v>
      </c>
      <c r="V416" t="s">
        <v>116</v>
      </c>
      <c r="W416" s="3">
        <f>Table1[[#This Row],[Profit]]/Table1[[#This Row],[Sales]]</f>
        <v>0.1882755440731837</v>
      </c>
      <c r="X416" t="str">
        <f>IF(Table1[[#This Row],[Sales]]&gt;=30000,"High Value",IF(Table1[[#This Row],[Sales]]&gt;=15000,"Medium Value","Low Value"))</f>
        <v>Low Value</v>
      </c>
      <c r="Y416" t="str">
        <f>IF(Table1[[#This Row],[Quantity]]&gt;=3,"Bulk Order","Regular Order")</f>
        <v>Regular Order</v>
      </c>
      <c r="Z416" t="str">
        <f>TEXT(Table1[[#This Row],[Order Date]],"dddd")</f>
        <v>Friday</v>
      </c>
    </row>
    <row r="417" spans="1:26" ht="14.4" x14ac:dyDescent="0.3">
      <c r="A417" t="s">
        <v>1114</v>
      </c>
      <c r="B417" t="s">
        <v>1115</v>
      </c>
      <c r="C417" s="2">
        <v>46195</v>
      </c>
      <c r="D417" t="s">
        <v>42</v>
      </c>
      <c r="E417" t="s">
        <v>55</v>
      </c>
      <c r="F417" t="s">
        <v>252</v>
      </c>
      <c r="G417" t="s">
        <v>134</v>
      </c>
      <c r="H417" t="s">
        <v>46</v>
      </c>
      <c r="I417" t="s">
        <v>33</v>
      </c>
      <c r="J417" t="s">
        <v>59</v>
      </c>
      <c r="K417" t="s">
        <v>95</v>
      </c>
      <c r="L417" t="s">
        <v>36</v>
      </c>
      <c r="M417">
        <v>1</v>
      </c>
      <c r="N417">
        <v>15585</v>
      </c>
      <c r="O417" s="2">
        <v>0</v>
      </c>
      <c r="P417" s="2">
        <v>15585</v>
      </c>
      <c r="Q417" s="2">
        <v>12402.39</v>
      </c>
      <c r="R417" s="2">
        <v>3182.61</v>
      </c>
      <c r="S417" t="s">
        <v>37</v>
      </c>
      <c r="T417">
        <v>4</v>
      </c>
      <c r="U417" t="s">
        <v>51</v>
      </c>
      <c r="V417" t="s">
        <v>75</v>
      </c>
      <c r="W417" s="3">
        <f>Table1[[#This Row],[Profit]]/Table1[[#This Row],[Sales]]</f>
        <v>0.20420981713185757</v>
      </c>
      <c r="X417" t="str">
        <f>IF(Table1[[#This Row],[Sales]]&gt;=30000,"High Value",IF(Table1[[#This Row],[Sales]]&gt;=15000,"Medium Value","Low Value"))</f>
        <v>Medium Value</v>
      </c>
      <c r="Y417" t="str">
        <f>IF(Table1[[#This Row],[Quantity]]&gt;=3,"Bulk Order","Regular Order")</f>
        <v>Regular Order</v>
      </c>
      <c r="Z417" t="str">
        <f>TEXT(Table1[[#This Row],[Order Date]],"dddd")</f>
        <v>Monday</v>
      </c>
    </row>
    <row r="418" spans="1:26" ht="14.4" x14ac:dyDescent="0.3">
      <c r="A418" t="s">
        <v>1116</v>
      </c>
      <c r="B418" t="s">
        <v>1117</v>
      </c>
      <c r="C418" s="2">
        <v>46186</v>
      </c>
      <c r="D418" t="s">
        <v>42</v>
      </c>
      <c r="E418" t="s">
        <v>133</v>
      </c>
      <c r="F418" t="s">
        <v>310</v>
      </c>
      <c r="G418" t="s">
        <v>523</v>
      </c>
      <c r="H418" t="s">
        <v>46</v>
      </c>
      <c r="I418" t="s">
        <v>33</v>
      </c>
      <c r="J418" t="s">
        <v>169</v>
      </c>
      <c r="K418" t="s">
        <v>170</v>
      </c>
      <c r="L418" t="s">
        <v>171</v>
      </c>
      <c r="M418">
        <v>2</v>
      </c>
      <c r="N418">
        <v>10936</v>
      </c>
      <c r="O418" s="2">
        <v>5</v>
      </c>
      <c r="P418" s="2">
        <v>20778.400000000001</v>
      </c>
      <c r="Q418" s="2">
        <v>16899.79</v>
      </c>
      <c r="R418" s="2">
        <v>3878.61</v>
      </c>
      <c r="S418" t="s">
        <v>37</v>
      </c>
      <c r="T418">
        <v>5</v>
      </c>
      <c r="U418" t="s">
        <v>51</v>
      </c>
      <c r="V418" t="s">
        <v>116</v>
      </c>
      <c r="W418" s="3">
        <f>Table1[[#This Row],[Profit]]/Table1[[#This Row],[Sales]]</f>
        <v>0.18666547953644169</v>
      </c>
      <c r="X418" t="str">
        <f>IF(Table1[[#This Row],[Sales]]&gt;=30000,"High Value",IF(Table1[[#This Row],[Sales]]&gt;=15000,"Medium Value","Low Value"))</f>
        <v>Medium Value</v>
      </c>
      <c r="Y418" t="str">
        <f>IF(Table1[[#This Row],[Quantity]]&gt;=3,"Bulk Order","Regular Order")</f>
        <v>Regular Order</v>
      </c>
      <c r="Z418" t="str">
        <f>TEXT(Table1[[#This Row],[Order Date]],"dddd")</f>
        <v>Saturday</v>
      </c>
    </row>
    <row r="419" spans="1:26" ht="14.4" x14ac:dyDescent="0.3">
      <c r="A419" t="s">
        <v>1118</v>
      </c>
      <c r="B419" t="s">
        <v>1119</v>
      </c>
      <c r="C419" s="2">
        <v>46202</v>
      </c>
      <c r="D419" t="s">
        <v>42</v>
      </c>
      <c r="E419" t="s">
        <v>29</v>
      </c>
      <c r="F419" t="s">
        <v>532</v>
      </c>
      <c r="G419" t="s">
        <v>193</v>
      </c>
      <c r="H419" t="s">
        <v>32</v>
      </c>
      <c r="I419" t="s">
        <v>33</v>
      </c>
      <c r="J419" t="s">
        <v>47</v>
      </c>
      <c r="K419" t="s">
        <v>48</v>
      </c>
      <c r="L419" t="s">
        <v>49</v>
      </c>
      <c r="M419">
        <v>1</v>
      </c>
      <c r="N419">
        <v>8457</v>
      </c>
      <c r="O419" s="2">
        <v>10</v>
      </c>
      <c r="P419" s="2">
        <v>7611.3</v>
      </c>
      <c r="Q419" s="2">
        <v>5999.3</v>
      </c>
      <c r="R419" s="2">
        <v>1612</v>
      </c>
      <c r="S419" t="s">
        <v>37</v>
      </c>
      <c r="T419">
        <v>4</v>
      </c>
      <c r="U419" t="s">
        <v>51</v>
      </c>
      <c r="V419" t="s">
        <v>116</v>
      </c>
      <c r="W419" s="3">
        <f>Table1[[#This Row],[Profit]]/Table1[[#This Row],[Sales]]</f>
        <v>0.21179036432672474</v>
      </c>
      <c r="X419" t="str">
        <f>IF(Table1[[#This Row],[Sales]]&gt;=30000,"High Value",IF(Table1[[#This Row],[Sales]]&gt;=15000,"Medium Value","Low Value"))</f>
        <v>Low Value</v>
      </c>
      <c r="Y419" t="str">
        <f>IF(Table1[[#This Row],[Quantity]]&gt;=3,"Bulk Order","Regular Order")</f>
        <v>Regular Order</v>
      </c>
      <c r="Z419" t="str">
        <f>TEXT(Table1[[#This Row],[Order Date]],"dddd")</f>
        <v>Monday</v>
      </c>
    </row>
    <row r="420" spans="1:26" ht="14.4" x14ac:dyDescent="0.3">
      <c r="A420" t="s">
        <v>1120</v>
      </c>
      <c r="B420" t="s">
        <v>1121</v>
      </c>
      <c r="C420" s="2">
        <v>46182</v>
      </c>
      <c r="D420" t="s">
        <v>42</v>
      </c>
      <c r="E420" t="s">
        <v>196</v>
      </c>
      <c r="F420" t="s">
        <v>542</v>
      </c>
      <c r="G420" t="s">
        <v>104</v>
      </c>
      <c r="H420" t="s">
        <v>32</v>
      </c>
      <c r="I420" t="s">
        <v>58</v>
      </c>
      <c r="J420" t="s">
        <v>47</v>
      </c>
      <c r="K420" t="s">
        <v>48</v>
      </c>
      <c r="L420" t="s">
        <v>49</v>
      </c>
      <c r="M420">
        <v>5</v>
      </c>
      <c r="N420">
        <v>7660</v>
      </c>
      <c r="O420" s="2">
        <v>15</v>
      </c>
      <c r="P420" s="2">
        <v>32555</v>
      </c>
      <c r="Q420" s="2">
        <v>26465.66</v>
      </c>
      <c r="R420" s="2">
        <v>6089.34</v>
      </c>
      <c r="S420" t="s">
        <v>37</v>
      </c>
      <c r="T420">
        <v>5</v>
      </c>
      <c r="U420" t="s">
        <v>51</v>
      </c>
      <c r="V420" t="s">
        <v>39</v>
      </c>
      <c r="W420" s="3">
        <f>Table1[[#This Row],[Profit]]/Table1[[#This Row],[Sales]]</f>
        <v>0.18704776532022732</v>
      </c>
      <c r="X420" t="str">
        <f>IF(Table1[[#This Row],[Sales]]&gt;=30000,"High Value",IF(Table1[[#This Row],[Sales]]&gt;=15000,"Medium Value","Low Value"))</f>
        <v>High Value</v>
      </c>
      <c r="Y420" t="str">
        <f>IF(Table1[[#This Row],[Quantity]]&gt;=3,"Bulk Order","Regular Order")</f>
        <v>Bulk Order</v>
      </c>
      <c r="Z420" t="str">
        <f>TEXT(Table1[[#This Row],[Order Date]],"dddd")</f>
        <v>Tuesday</v>
      </c>
    </row>
    <row r="421" spans="1:26" ht="14.4" x14ac:dyDescent="0.3">
      <c r="A421" t="s">
        <v>1122</v>
      </c>
      <c r="B421" t="s">
        <v>1123</v>
      </c>
      <c r="C421" s="2">
        <v>46152</v>
      </c>
      <c r="D421" t="s">
        <v>28</v>
      </c>
      <c r="E421" t="s">
        <v>133</v>
      </c>
      <c r="F421" t="s">
        <v>1124</v>
      </c>
      <c r="G421" t="s">
        <v>175</v>
      </c>
      <c r="H421" t="s">
        <v>32</v>
      </c>
      <c r="I421" t="s">
        <v>33</v>
      </c>
      <c r="J421" t="s">
        <v>169</v>
      </c>
      <c r="K421" t="s">
        <v>170</v>
      </c>
      <c r="L421" t="s">
        <v>171</v>
      </c>
      <c r="M421">
        <v>1</v>
      </c>
      <c r="N421">
        <v>10244</v>
      </c>
      <c r="O421" s="2">
        <v>5</v>
      </c>
      <c r="P421" s="2">
        <v>9731.7999999999993</v>
      </c>
      <c r="Q421" s="2">
        <v>7732.23</v>
      </c>
      <c r="R421" s="2">
        <v>1999.57</v>
      </c>
      <c r="S421" t="s">
        <v>50</v>
      </c>
      <c r="T421">
        <v>5</v>
      </c>
      <c r="U421" t="s">
        <v>51</v>
      </c>
      <c r="V421" t="s">
        <v>86</v>
      </c>
      <c r="W421" s="3">
        <f>Table1[[#This Row],[Profit]]/Table1[[#This Row],[Sales]]</f>
        <v>0.20546764216280647</v>
      </c>
      <c r="X421" t="str">
        <f>IF(Table1[[#This Row],[Sales]]&gt;=30000,"High Value",IF(Table1[[#This Row],[Sales]]&gt;=15000,"Medium Value","Low Value"))</f>
        <v>Low Value</v>
      </c>
      <c r="Y421" t="str">
        <f>IF(Table1[[#This Row],[Quantity]]&gt;=3,"Bulk Order","Regular Order")</f>
        <v>Regular Order</v>
      </c>
      <c r="Z421" t="str">
        <f>TEXT(Table1[[#This Row],[Order Date]],"dddd")</f>
        <v>Sunday</v>
      </c>
    </row>
    <row r="422" spans="1:26" ht="14.4" x14ac:dyDescent="0.3">
      <c r="A422" t="s">
        <v>1125</v>
      </c>
      <c r="B422" t="s">
        <v>1126</v>
      </c>
      <c r="C422" s="2">
        <v>46185</v>
      </c>
      <c r="D422" t="s">
        <v>42</v>
      </c>
      <c r="E422" t="s">
        <v>66</v>
      </c>
      <c r="F422" t="s">
        <v>1127</v>
      </c>
      <c r="G422" t="s">
        <v>68</v>
      </c>
      <c r="H422" t="s">
        <v>32</v>
      </c>
      <c r="I422" t="s">
        <v>58</v>
      </c>
      <c r="J422" t="s">
        <v>59</v>
      </c>
      <c r="K422" t="s">
        <v>60</v>
      </c>
      <c r="L422" t="s">
        <v>61</v>
      </c>
      <c r="M422">
        <v>5</v>
      </c>
      <c r="N422">
        <v>16878</v>
      </c>
      <c r="O422" s="2">
        <v>0</v>
      </c>
      <c r="P422" s="2">
        <v>84390</v>
      </c>
      <c r="Q422" s="2">
        <v>67038.77</v>
      </c>
      <c r="R422" s="2">
        <v>17351.23</v>
      </c>
      <c r="S422" t="s">
        <v>81</v>
      </c>
      <c r="T422">
        <v>5</v>
      </c>
      <c r="U422" t="s">
        <v>51</v>
      </c>
      <c r="V422" t="s">
        <v>63</v>
      </c>
      <c r="W422" s="3">
        <f>Table1[[#This Row],[Profit]]/Table1[[#This Row],[Sales]]</f>
        <v>0.20560765493541888</v>
      </c>
      <c r="X422" t="str">
        <f>IF(Table1[[#This Row],[Sales]]&gt;=30000,"High Value",IF(Table1[[#This Row],[Sales]]&gt;=15000,"Medium Value","Low Value"))</f>
        <v>High Value</v>
      </c>
      <c r="Y422" t="str">
        <f>IF(Table1[[#This Row],[Quantity]]&gt;=3,"Bulk Order","Regular Order")</f>
        <v>Bulk Order</v>
      </c>
      <c r="Z422" t="str">
        <f>TEXT(Table1[[#This Row],[Order Date]],"dddd")</f>
        <v>Friday</v>
      </c>
    </row>
    <row r="423" spans="1:26" ht="14.4" x14ac:dyDescent="0.3">
      <c r="A423" t="s">
        <v>1128</v>
      </c>
      <c r="B423" t="s">
        <v>1129</v>
      </c>
      <c r="C423" s="2">
        <v>46194</v>
      </c>
      <c r="D423" t="s">
        <v>42</v>
      </c>
      <c r="E423" t="s">
        <v>29</v>
      </c>
      <c r="F423" t="s">
        <v>114</v>
      </c>
      <c r="G423" t="s">
        <v>57</v>
      </c>
      <c r="H423" t="s">
        <v>46</v>
      </c>
      <c r="I423" t="s">
        <v>33</v>
      </c>
      <c r="J423" t="s">
        <v>59</v>
      </c>
      <c r="K423" t="s">
        <v>60</v>
      </c>
      <c r="L423" t="s">
        <v>61</v>
      </c>
      <c r="M423">
        <v>1</v>
      </c>
      <c r="N423">
        <v>17376</v>
      </c>
      <c r="O423" s="2">
        <v>15</v>
      </c>
      <c r="P423" s="2">
        <v>14769.6</v>
      </c>
      <c r="Q423" s="2">
        <v>11863.29</v>
      </c>
      <c r="R423" s="2">
        <v>2906.31</v>
      </c>
      <c r="S423" t="s">
        <v>37</v>
      </c>
      <c r="T423">
        <v>5</v>
      </c>
      <c r="U423" t="s">
        <v>51</v>
      </c>
      <c r="V423" t="s">
        <v>86</v>
      </c>
      <c r="W423" s="3">
        <f>Table1[[#This Row],[Profit]]/Table1[[#This Row],[Sales]]</f>
        <v>0.19677648683782906</v>
      </c>
      <c r="X423" t="str">
        <f>IF(Table1[[#This Row],[Sales]]&gt;=30000,"High Value",IF(Table1[[#This Row],[Sales]]&gt;=15000,"Medium Value","Low Value"))</f>
        <v>Low Value</v>
      </c>
      <c r="Y423" t="str">
        <f>IF(Table1[[#This Row],[Quantity]]&gt;=3,"Bulk Order","Regular Order")</f>
        <v>Regular Order</v>
      </c>
      <c r="Z423" t="str">
        <f>TEXT(Table1[[#This Row],[Order Date]],"dddd")</f>
        <v>Sunday</v>
      </c>
    </row>
    <row r="424" spans="1:26" ht="14.4" x14ac:dyDescent="0.3">
      <c r="A424" t="s">
        <v>1130</v>
      </c>
      <c r="B424" t="s">
        <v>1131</v>
      </c>
      <c r="C424" s="2">
        <v>46161</v>
      </c>
      <c r="D424" t="s">
        <v>28</v>
      </c>
      <c r="E424" t="s">
        <v>55</v>
      </c>
      <c r="F424" t="s">
        <v>472</v>
      </c>
      <c r="G424" t="s">
        <v>417</v>
      </c>
      <c r="H424" t="s">
        <v>46</v>
      </c>
      <c r="I424" t="s">
        <v>58</v>
      </c>
      <c r="J424" t="s">
        <v>34</v>
      </c>
      <c r="K424" t="s">
        <v>35</v>
      </c>
      <c r="L424" t="s">
        <v>36</v>
      </c>
      <c r="M424">
        <v>4</v>
      </c>
      <c r="N424">
        <v>10959</v>
      </c>
      <c r="O424" s="2">
        <v>15</v>
      </c>
      <c r="P424" s="2">
        <v>37260.6</v>
      </c>
      <c r="Q424" s="2">
        <v>29674.58</v>
      </c>
      <c r="R424" s="2">
        <v>7586.02</v>
      </c>
      <c r="S424" t="s">
        <v>37</v>
      </c>
      <c r="T424">
        <v>4</v>
      </c>
      <c r="U424" t="s">
        <v>51</v>
      </c>
      <c r="V424" t="s">
        <v>116</v>
      </c>
      <c r="W424" s="3">
        <f>Table1[[#This Row],[Profit]]/Table1[[#This Row],[Sales]]</f>
        <v>0.20359360826181008</v>
      </c>
      <c r="X424" t="str">
        <f>IF(Table1[[#This Row],[Sales]]&gt;=30000,"High Value",IF(Table1[[#This Row],[Sales]]&gt;=15000,"Medium Value","Low Value"))</f>
        <v>High Value</v>
      </c>
      <c r="Y424" t="str">
        <f>IF(Table1[[#This Row],[Quantity]]&gt;=3,"Bulk Order","Regular Order")</f>
        <v>Bulk Order</v>
      </c>
      <c r="Z424" t="str">
        <f>TEXT(Table1[[#This Row],[Order Date]],"dddd")</f>
        <v>Tuesday</v>
      </c>
    </row>
    <row r="425" spans="1:26" ht="14.4" x14ac:dyDescent="0.3">
      <c r="A425" t="s">
        <v>1132</v>
      </c>
      <c r="B425" t="s">
        <v>1133</v>
      </c>
      <c r="C425" s="2">
        <v>46161</v>
      </c>
      <c r="D425" t="s">
        <v>28</v>
      </c>
      <c r="E425" t="s">
        <v>133</v>
      </c>
      <c r="F425" t="s">
        <v>260</v>
      </c>
      <c r="G425" t="s">
        <v>168</v>
      </c>
      <c r="H425" t="s">
        <v>32</v>
      </c>
      <c r="I425" t="s">
        <v>33</v>
      </c>
      <c r="J425" t="s">
        <v>47</v>
      </c>
      <c r="K425" t="s">
        <v>48</v>
      </c>
      <c r="L425" t="s">
        <v>49</v>
      </c>
      <c r="M425">
        <v>2</v>
      </c>
      <c r="N425">
        <v>7788</v>
      </c>
      <c r="O425" s="2">
        <v>0</v>
      </c>
      <c r="P425" s="2">
        <v>15576</v>
      </c>
      <c r="Q425" s="2">
        <v>12154.76</v>
      </c>
      <c r="R425" s="2">
        <v>3421.24</v>
      </c>
      <c r="S425" t="s">
        <v>50</v>
      </c>
      <c r="T425">
        <v>4</v>
      </c>
      <c r="U425" t="s">
        <v>51</v>
      </c>
      <c r="V425" t="s">
        <v>63</v>
      </c>
      <c r="W425" s="3">
        <f>Table1[[#This Row],[Profit]]/Table1[[#This Row],[Sales]]</f>
        <v>0.21964817668207498</v>
      </c>
      <c r="X425" t="str">
        <f>IF(Table1[[#This Row],[Sales]]&gt;=30000,"High Value",IF(Table1[[#This Row],[Sales]]&gt;=15000,"Medium Value","Low Value"))</f>
        <v>Medium Value</v>
      </c>
      <c r="Y425" t="str">
        <f>IF(Table1[[#This Row],[Quantity]]&gt;=3,"Bulk Order","Regular Order")</f>
        <v>Regular Order</v>
      </c>
      <c r="Z425" t="str">
        <f>TEXT(Table1[[#This Row],[Order Date]],"dddd")</f>
        <v>Tuesday</v>
      </c>
    </row>
    <row r="426" spans="1:26" ht="14.4" x14ac:dyDescent="0.3">
      <c r="A426" t="s">
        <v>1134</v>
      </c>
      <c r="B426" t="s">
        <v>1135</v>
      </c>
      <c r="C426" s="2">
        <v>46160</v>
      </c>
      <c r="D426" t="s">
        <v>28</v>
      </c>
      <c r="E426" t="s">
        <v>133</v>
      </c>
      <c r="F426" t="s">
        <v>1136</v>
      </c>
      <c r="G426" t="s">
        <v>523</v>
      </c>
      <c r="H426" t="s">
        <v>46</v>
      </c>
      <c r="I426" t="s">
        <v>58</v>
      </c>
      <c r="J426" t="s">
        <v>59</v>
      </c>
      <c r="K426" t="s">
        <v>95</v>
      </c>
      <c r="L426" t="s">
        <v>36</v>
      </c>
      <c r="M426">
        <v>3</v>
      </c>
      <c r="N426">
        <v>16476</v>
      </c>
      <c r="O426" s="2">
        <v>0</v>
      </c>
      <c r="P426" s="2">
        <v>49428</v>
      </c>
      <c r="Q426" s="2">
        <v>38995.67</v>
      </c>
      <c r="R426" s="2">
        <v>10432.33</v>
      </c>
      <c r="S426" t="s">
        <v>50</v>
      </c>
      <c r="T426">
        <v>5</v>
      </c>
      <c r="U426" t="s">
        <v>90</v>
      </c>
      <c r="V426" t="s">
        <v>52</v>
      </c>
      <c r="W426" s="3">
        <f>Table1[[#This Row],[Profit]]/Table1[[#This Row],[Sales]]</f>
        <v>0.21106113943513799</v>
      </c>
      <c r="X426" t="str">
        <f>IF(Table1[[#This Row],[Sales]]&gt;=30000,"High Value",IF(Table1[[#This Row],[Sales]]&gt;=15000,"Medium Value","Low Value"))</f>
        <v>High Value</v>
      </c>
      <c r="Y426" t="str">
        <f>IF(Table1[[#This Row],[Quantity]]&gt;=3,"Bulk Order","Regular Order")</f>
        <v>Bulk Order</v>
      </c>
      <c r="Z426" t="str">
        <f>TEXT(Table1[[#This Row],[Order Date]],"dddd")</f>
        <v>Monday</v>
      </c>
    </row>
    <row r="427" spans="1:26" ht="14.4" x14ac:dyDescent="0.3">
      <c r="A427" t="s">
        <v>1137</v>
      </c>
      <c r="B427" t="s">
        <v>1138</v>
      </c>
      <c r="C427" s="2">
        <v>46146</v>
      </c>
      <c r="D427" t="s">
        <v>28</v>
      </c>
      <c r="E427" t="s">
        <v>133</v>
      </c>
      <c r="F427" t="s">
        <v>383</v>
      </c>
      <c r="G427" t="s">
        <v>523</v>
      </c>
      <c r="H427" t="s">
        <v>46</v>
      </c>
      <c r="I427" t="s">
        <v>33</v>
      </c>
      <c r="J427" t="s">
        <v>47</v>
      </c>
      <c r="K427" t="s">
        <v>69</v>
      </c>
      <c r="L427" t="s">
        <v>70</v>
      </c>
      <c r="M427">
        <v>1</v>
      </c>
      <c r="N427">
        <v>7737</v>
      </c>
      <c r="O427" s="2">
        <v>0</v>
      </c>
      <c r="P427" s="2">
        <v>7737</v>
      </c>
      <c r="Q427" s="2">
        <v>6317.87</v>
      </c>
      <c r="R427" s="2">
        <v>1419.13</v>
      </c>
      <c r="S427" t="s">
        <v>37</v>
      </c>
      <c r="T427">
        <v>4</v>
      </c>
      <c r="U427" t="s">
        <v>51</v>
      </c>
      <c r="V427" t="s">
        <v>75</v>
      </c>
      <c r="W427" s="3">
        <f>Table1[[#This Row],[Profit]]/Table1[[#This Row],[Sales]]</f>
        <v>0.18342122269613548</v>
      </c>
      <c r="X427" t="str">
        <f>IF(Table1[[#This Row],[Sales]]&gt;=30000,"High Value",IF(Table1[[#This Row],[Sales]]&gt;=15000,"Medium Value","Low Value"))</f>
        <v>Low Value</v>
      </c>
      <c r="Y427" t="str">
        <f>IF(Table1[[#This Row],[Quantity]]&gt;=3,"Bulk Order","Regular Order")</f>
        <v>Regular Order</v>
      </c>
      <c r="Z427" t="str">
        <f>TEXT(Table1[[#This Row],[Order Date]],"dddd")</f>
        <v>Monday</v>
      </c>
    </row>
    <row r="428" spans="1:26" ht="14.4" x14ac:dyDescent="0.3">
      <c r="A428" t="s">
        <v>1139</v>
      </c>
      <c r="B428" t="s">
        <v>1140</v>
      </c>
      <c r="C428" s="2">
        <v>46198</v>
      </c>
      <c r="D428" t="s">
        <v>42</v>
      </c>
      <c r="E428" t="s">
        <v>66</v>
      </c>
      <c r="F428" t="s">
        <v>487</v>
      </c>
      <c r="G428" t="s">
        <v>104</v>
      </c>
      <c r="H428" t="s">
        <v>32</v>
      </c>
      <c r="I428" t="s">
        <v>58</v>
      </c>
      <c r="J428" t="s">
        <v>199</v>
      </c>
      <c r="K428" t="s">
        <v>200</v>
      </c>
      <c r="L428" t="s">
        <v>130</v>
      </c>
      <c r="M428">
        <v>3</v>
      </c>
      <c r="N428">
        <v>803</v>
      </c>
      <c r="O428" s="2">
        <v>5</v>
      </c>
      <c r="P428" s="2">
        <v>2288.5500000000002</v>
      </c>
      <c r="Q428" s="2">
        <v>1442.17</v>
      </c>
      <c r="R428" s="2">
        <v>846.38</v>
      </c>
      <c r="S428" t="s">
        <v>50</v>
      </c>
      <c r="T428">
        <v>4</v>
      </c>
      <c r="U428" t="s">
        <v>51</v>
      </c>
      <c r="V428" t="s">
        <v>63</v>
      </c>
      <c r="W428" s="3">
        <f>Table1[[#This Row],[Profit]]/Table1[[#This Row],[Sales]]</f>
        <v>0.36983242664569266</v>
      </c>
      <c r="X428" t="str">
        <f>IF(Table1[[#This Row],[Sales]]&gt;=30000,"High Value",IF(Table1[[#This Row],[Sales]]&gt;=15000,"Medium Value","Low Value"))</f>
        <v>Low Value</v>
      </c>
      <c r="Y428" t="str">
        <f>IF(Table1[[#This Row],[Quantity]]&gt;=3,"Bulk Order","Regular Order")</f>
        <v>Bulk Order</v>
      </c>
      <c r="Z428" t="str">
        <f>TEXT(Table1[[#This Row],[Order Date]],"dddd")</f>
        <v>Thursday</v>
      </c>
    </row>
    <row r="429" spans="1:26" ht="14.4" x14ac:dyDescent="0.3">
      <c r="A429" t="s">
        <v>1141</v>
      </c>
      <c r="B429" t="s">
        <v>1142</v>
      </c>
      <c r="C429" s="2">
        <v>46145</v>
      </c>
      <c r="D429" t="s">
        <v>28</v>
      </c>
      <c r="E429" t="s">
        <v>66</v>
      </c>
      <c r="F429" t="s">
        <v>660</v>
      </c>
      <c r="G429" t="s">
        <v>94</v>
      </c>
      <c r="H429" t="s">
        <v>46</v>
      </c>
      <c r="I429" t="s">
        <v>33</v>
      </c>
      <c r="J429" t="s">
        <v>59</v>
      </c>
      <c r="K429" t="s">
        <v>60</v>
      </c>
      <c r="L429" t="s">
        <v>61</v>
      </c>
      <c r="M429">
        <v>2</v>
      </c>
      <c r="N429">
        <v>15964</v>
      </c>
      <c r="O429" s="2">
        <v>5</v>
      </c>
      <c r="P429" s="2">
        <v>30331.599999999999</v>
      </c>
      <c r="Q429" s="2">
        <v>23694.86</v>
      </c>
      <c r="R429" s="2">
        <v>6636.74</v>
      </c>
      <c r="S429" t="s">
        <v>81</v>
      </c>
      <c r="T429">
        <v>4</v>
      </c>
      <c r="U429" t="s">
        <v>51</v>
      </c>
      <c r="V429" t="s">
        <v>86</v>
      </c>
      <c r="W429" s="3">
        <f>Table1[[#This Row],[Profit]]/Table1[[#This Row],[Sales]]</f>
        <v>0.21880612958103102</v>
      </c>
      <c r="X429" t="str">
        <f>IF(Table1[[#This Row],[Sales]]&gt;=30000,"High Value",IF(Table1[[#This Row],[Sales]]&gt;=15000,"Medium Value","Low Value"))</f>
        <v>High Value</v>
      </c>
      <c r="Y429" t="str">
        <f>IF(Table1[[#This Row],[Quantity]]&gt;=3,"Bulk Order","Regular Order")</f>
        <v>Regular Order</v>
      </c>
      <c r="Z429" t="str">
        <f>TEXT(Table1[[#This Row],[Order Date]],"dddd")</f>
        <v>Sunday</v>
      </c>
    </row>
    <row r="430" spans="1:26" ht="14.4" x14ac:dyDescent="0.3">
      <c r="A430" t="s">
        <v>1143</v>
      </c>
      <c r="B430" t="s">
        <v>1144</v>
      </c>
      <c r="C430" s="2">
        <v>46145</v>
      </c>
      <c r="D430" t="s">
        <v>28</v>
      </c>
      <c r="E430" t="s">
        <v>66</v>
      </c>
      <c r="F430" t="s">
        <v>490</v>
      </c>
      <c r="G430" t="s">
        <v>186</v>
      </c>
      <c r="H430" t="s">
        <v>32</v>
      </c>
      <c r="I430" t="s">
        <v>33</v>
      </c>
      <c r="J430" t="s">
        <v>47</v>
      </c>
      <c r="K430" t="s">
        <v>48</v>
      </c>
      <c r="L430" t="s">
        <v>49</v>
      </c>
      <c r="M430">
        <v>1</v>
      </c>
      <c r="N430">
        <v>7009</v>
      </c>
      <c r="O430" s="2">
        <v>5</v>
      </c>
      <c r="P430" s="2">
        <v>6658.55</v>
      </c>
      <c r="Q430" s="2">
        <v>5219.12</v>
      </c>
      <c r="R430" s="2">
        <v>1439.43</v>
      </c>
      <c r="S430" t="s">
        <v>50</v>
      </c>
      <c r="T430">
        <v>5</v>
      </c>
      <c r="U430" t="s">
        <v>51</v>
      </c>
      <c r="V430" t="s">
        <v>63</v>
      </c>
      <c r="W430" s="3">
        <f>Table1[[#This Row],[Profit]]/Table1[[#This Row],[Sales]]</f>
        <v>0.2161776963453004</v>
      </c>
      <c r="X430" t="str">
        <f>IF(Table1[[#This Row],[Sales]]&gt;=30000,"High Value",IF(Table1[[#This Row],[Sales]]&gt;=15000,"Medium Value","Low Value"))</f>
        <v>Low Value</v>
      </c>
      <c r="Y430" t="str">
        <f>IF(Table1[[#This Row],[Quantity]]&gt;=3,"Bulk Order","Regular Order")</f>
        <v>Regular Order</v>
      </c>
      <c r="Z430" t="str">
        <f>TEXT(Table1[[#This Row],[Order Date]],"dddd")</f>
        <v>Sunday</v>
      </c>
    </row>
    <row r="431" spans="1:26" ht="14.4" x14ac:dyDescent="0.3">
      <c r="A431" t="s">
        <v>1145</v>
      </c>
      <c r="B431" t="s">
        <v>1146</v>
      </c>
      <c r="C431" s="2">
        <v>46161</v>
      </c>
      <c r="D431" t="s">
        <v>28</v>
      </c>
      <c r="E431" t="s">
        <v>66</v>
      </c>
      <c r="F431" t="s">
        <v>264</v>
      </c>
      <c r="G431" t="s">
        <v>611</v>
      </c>
      <c r="H431" t="s">
        <v>46</v>
      </c>
      <c r="I431" t="s">
        <v>33</v>
      </c>
      <c r="J431" t="s">
        <v>59</v>
      </c>
      <c r="K431" t="s">
        <v>95</v>
      </c>
      <c r="L431" t="s">
        <v>36</v>
      </c>
      <c r="M431">
        <v>2</v>
      </c>
      <c r="N431">
        <v>15101</v>
      </c>
      <c r="O431" s="2">
        <v>5</v>
      </c>
      <c r="P431" s="2">
        <v>28691.9</v>
      </c>
      <c r="Q431" s="2">
        <v>23335.45</v>
      </c>
      <c r="R431" s="2">
        <v>5356.45</v>
      </c>
      <c r="S431" t="s">
        <v>37</v>
      </c>
      <c r="T431">
        <v>5</v>
      </c>
      <c r="U431" t="s">
        <v>38</v>
      </c>
      <c r="V431" t="s">
        <v>116</v>
      </c>
      <c r="W431" s="3">
        <f>Table1[[#This Row],[Profit]]/Table1[[#This Row],[Sales]]</f>
        <v>0.18668857761249688</v>
      </c>
      <c r="X431" t="str">
        <f>IF(Table1[[#This Row],[Sales]]&gt;=30000,"High Value",IF(Table1[[#This Row],[Sales]]&gt;=15000,"Medium Value","Low Value"))</f>
        <v>Medium Value</v>
      </c>
      <c r="Y431" t="str">
        <f>IF(Table1[[#This Row],[Quantity]]&gt;=3,"Bulk Order","Regular Order")</f>
        <v>Regular Order</v>
      </c>
      <c r="Z431" t="str">
        <f>TEXT(Table1[[#This Row],[Order Date]],"dddd")</f>
        <v>Tuesday</v>
      </c>
    </row>
    <row r="432" spans="1:26" ht="14.4" x14ac:dyDescent="0.3">
      <c r="A432" t="s">
        <v>1147</v>
      </c>
      <c r="B432" t="s">
        <v>1148</v>
      </c>
      <c r="C432" s="2">
        <v>46151</v>
      </c>
      <c r="D432" t="s">
        <v>28</v>
      </c>
      <c r="E432" t="s">
        <v>43</v>
      </c>
      <c r="F432" t="s">
        <v>411</v>
      </c>
      <c r="G432" t="s">
        <v>141</v>
      </c>
      <c r="H432" t="s">
        <v>46</v>
      </c>
      <c r="I432" t="s">
        <v>33</v>
      </c>
      <c r="J432" t="s">
        <v>59</v>
      </c>
      <c r="K432" t="s">
        <v>95</v>
      </c>
      <c r="L432" t="s">
        <v>36</v>
      </c>
      <c r="M432">
        <v>1</v>
      </c>
      <c r="N432">
        <v>14685</v>
      </c>
      <c r="O432" s="2">
        <v>0</v>
      </c>
      <c r="P432" s="2">
        <v>14685</v>
      </c>
      <c r="Q432" s="2">
        <v>11631.12</v>
      </c>
      <c r="R432" s="2">
        <v>3053.88</v>
      </c>
      <c r="S432" t="s">
        <v>50</v>
      </c>
      <c r="T432">
        <v>5</v>
      </c>
      <c r="U432" t="s">
        <v>51</v>
      </c>
      <c r="V432" t="s">
        <v>39</v>
      </c>
      <c r="W432" s="3">
        <f>Table1[[#This Row],[Profit]]/Table1[[#This Row],[Sales]]</f>
        <v>0.20795914198161389</v>
      </c>
      <c r="X432" t="str">
        <f>IF(Table1[[#This Row],[Sales]]&gt;=30000,"High Value",IF(Table1[[#This Row],[Sales]]&gt;=15000,"Medium Value","Low Value"))</f>
        <v>Low Value</v>
      </c>
      <c r="Y432" t="str">
        <f>IF(Table1[[#This Row],[Quantity]]&gt;=3,"Bulk Order","Regular Order")</f>
        <v>Regular Order</v>
      </c>
      <c r="Z432" t="str">
        <f>TEXT(Table1[[#This Row],[Order Date]],"dddd")</f>
        <v>Saturday</v>
      </c>
    </row>
    <row r="433" spans="1:26" ht="14.4" x14ac:dyDescent="0.3">
      <c r="A433" t="s">
        <v>1149</v>
      </c>
      <c r="B433" t="s">
        <v>1150</v>
      </c>
      <c r="C433" s="2">
        <v>46160</v>
      </c>
      <c r="D433" t="s">
        <v>28</v>
      </c>
      <c r="E433" t="s">
        <v>55</v>
      </c>
      <c r="F433" t="s">
        <v>1151</v>
      </c>
      <c r="G433" t="s">
        <v>168</v>
      </c>
      <c r="H433" t="s">
        <v>32</v>
      </c>
      <c r="I433" t="s">
        <v>33</v>
      </c>
      <c r="J433" t="s">
        <v>47</v>
      </c>
      <c r="K433" t="s">
        <v>48</v>
      </c>
      <c r="L433" t="s">
        <v>49</v>
      </c>
      <c r="M433">
        <v>1</v>
      </c>
      <c r="N433">
        <v>7409</v>
      </c>
      <c r="O433" s="2">
        <v>10</v>
      </c>
      <c r="P433" s="2">
        <v>6668.1</v>
      </c>
      <c r="Q433" s="2">
        <v>5227.08</v>
      </c>
      <c r="R433" s="2">
        <v>1441.02</v>
      </c>
      <c r="S433" t="s">
        <v>50</v>
      </c>
      <c r="T433">
        <v>5</v>
      </c>
      <c r="U433" t="s">
        <v>51</v>
      </c>
      <c r="V433" t="s">
        <v>75</v>
      </c>
      <c r="W433" s="3">
        <f>Table1[[#This Row],[Profit]]/Table1[[#This Row],[Sales]]</f>
        <v>0.21610653709452465</v>
      </c>
      <c r="X433" t="str">
        <f>IF(Table1[[#This Row],[Sales]]&gt;=30000,"High Value",IF(Table1[[#This Row],[Sales]]&gt;=15000,"Medium Value","Low Value"))</f>
        <v>Low Value</v>
      </c>
      <c r="Y433" t="str">
        <f>IF(Table1[[#This Row],[Quantity]]&gt;=3,"Bulk Order","Regular Order")</f>
        <v>Regular Order</v>
      </c>
      <c r="Z433" t="str">
        <f>TEXT(Table1[[#This Row],[Order Date]],"dddd")</f>
        <v>Monday</v>
      </c>
    </row>
    <row r="434" spans="1:26" ht="14.4" x14ac:dyDescent="0.3">
      <c r="A434" t="s">
        <v>1152</v>
      </c>
      <c r="B434" t="s">
        <v>1153</v>
      </c>
      <c r="C434" s="2">
        <v>46160</v>
      </c>
      <c r="D434" t="s">
        <v>28</v>
      </c>
      <c r="E434" t="s">
        <v>102</v>
      </c>
      <c r="F434" t="s">
        <v>1154</v>
      </c>
      <c r="G434" t="s">
        <v>57</v>
      </c>
      <c r="H434" t="s">
        <v>46</v>
      </c>
      <c r="I434" t="s">
        <v>33</v>
      </c>
      <c r="J434" t="s">
        <v>59</v>
      </c>
      <c r="K434" t="s">
        <v>95</v>
      </c>
      <c r="L434" t="s">
        <v>36</v>
      </c>
      <c r="M434">
        <v>1</v>
      </c>
      <c r="N434">
        <v>15856</v>
      </c>
      <c r="O434" s="2">
        <v>0</v>
      </c>
      <c r="P434" s="2">
        <v>15856</v>
      </c>
      <c r="Q434" s="2">
        <v>12900.34</v>
      </c>
      <c r="R434" s="2">
        <v>2955.66</v>
      </c>
      <c r="S434" t="s">
        <v>50</v>
      </c>
      <c r="T434">
        <v>5</v>
      </c>
      <c r="U434" t="s">
        <v>51</v>
      </c>
      <c r="V434" t="s">
        <v>75</v>
      </c>
      <c r="W434" s="3">
        <f>Table1[[#This Row],[Profit]]/Table1[[#This Row],[Sales]]</f>
        <v>0.18640640766902117</v>
      </c>
      <c r="X434" t="str">
        <f>IF(Table1[[#This Row],[Sales]]&gt;=30000,"High Value",IF(Table1[[#This Row],[Sales]]&gt;=15000,"Medium Value","Low Value"))</f>
        <v>Medium Value</v>
      </c>
      <c r="Y434" t="str">
        <f>IF(Table1[[#This Row],[Quantity]]&gt;=3,"Bulk Order","Regular Order")</f>
        <v>Regular Order</v>
      </c>
      <c r="Z434" t="str">
        <f>TEXT(Table1[[#This Row],[Order Date]],"dddd")</f>
        <v>Monday</v>
      </c>
    </row>
    <row r="435" spans="1:26" ht="14.4" x14ac:dyDescent="0.3">
      <c r="A435" t="s">
        <v>1155</v>
      </c>
      <c r="B435" t="s">
        <v>1156</v>
      </c>
      <c r="C435" s="2">
        <v>46190</v>
      </c>
      <c r="D435" t="s">
        <v>42</v>
      </c>
      <c r="E435" t="s">
        <v>133</v>
      </c>
      <c r="F435" t="s">
        <v>438</v>
      </c>
      <c r="G435" t="s">
        <v>322</v>
      </c>
      <c r="H435" t="s">
        <v>32</v>
      </c>
      <c r="I435" t="s">
        <v>58</v>
      </c>
      <c r="J435" t="s">
        <v>59</v>
      </c>
      <c r="K435" t="s">
        <v>60</v>
      </c>
      <c r="L435" t="s">
        <v>61</v>
      </c>
      <c r="M435">
        <v>3</v>
      </c>
      <c r="N435">
        <v>16401</v>
      </c>
      <c r="O435" s="2">
        <v>15</v>
      </c>
      <c r="P435" s="2">
        <v>41822.550000000003</v>
      </c>
      <c r="Q435" s="2">
        <v>34076.92</v>
      </c>
      <c r="R435" s="2">
        <v>7745.63</v>
      </c>
      <c r="S435" t="s">
        <v>50</v>
      </c>
      <c r="T435">
        <v>5</v>
      </c>
      <c r="U435" t="s">
        <v>51</v>
      </c>
      <c r="V435" t="s">
        <v>116</v>
      </c>
      <c r="W435" s="3">
        <f>Table1[[#This Row],[Profit]]/Table1[[#This Row],[Sales]]</f>
        <v>0.18520224137456945</v>
      </c>
      <c r="X435" t="str">
        <f>IF(Table1[[#This Row],[Sales]]&gt;=30000,"High Value",IF(Table1[[#This Row],[Sales]]&gt;=15000,"Medium Value","Low Value"))</f>
        <v>High Value</v>
      </c>
      <c r="Y435" t="str">
        <f>IF(Table1[[#This Row],[Quantity]]&gt;=3,"Bulk Order","Regular Order")</f>
        <v>Bulk Order</v>
      </c>
      <c r="Z435" t="str">
        <f>TEXT(Table1[[#This Row],[Order Date]],"dddd")</f>
        <v>Wednesday</v>
      </c>
    </row>
    <row r="436" spans="1:26" ht="14.4" x14ac:dyDescent="0.3">
      <c r="A436" t="s">
        <v>1157</v>
      </c>
      <c r="B436" t="s">
        <v>1158</v>
      </c>
      <c r="C436" s="2">
        <v>46198</v>
      </c>
      <c r="D436" t="s">
        <v>42</v>
      </c>
      <c r="E436" t="s">
        <v>29</v>
      </c>
      <c r="F436" t="s">
        <v>358</v>
      </c>
      <c r="G436" t="s">
        <v>249</v>
      </c>
      <c r="H436" t="s">
        <v>32</v>
      </c>
      <c r="I436" t="s">
        <v>58</v>
      </c>
      <c r="J436" t="s">
        <v>59</v>
      </c>
      <c r="K436" t="s">
        <v>95</v>
      </c>
      <c r="L436" t="s">
        <v>36</v>
      </c>
      <c r="M436">
        <v>5</v>
      </c>
      <c r="N436">
        <v>16858</v>
      </c>
      <c r="O436" s="2">
        <v>5</v>
      </c>
      <c r="P436" s="2">
        <v>80075.5</v>
      </c>
      <c r="Q436" s="2">
        <v>63894.67</v>
      </c>
      <c r="R436" s="2">
        <v>16180.83</v>
      </c>
      <c r="S436" t="s">
        <v>62</v>
      </c>
      <c r="T436">
        <v>4</v>
      </c>
      <c r="U436" t="s">
        <v>51</v>
      </c>
      <c r="V436" t="s">
        <v>116</v>
      </c>
      <c r="W436" s="3">
        <f>Table1[[#This Row],[Profit]]/Table1[[#This Row],[Sales]]</f>
        <v>0.20206967174728849</v>
      </c>
      <c r="X436" t="str">
        <f>IF(Table1[[#This Row],[Sales]]&gt;=30000,"High Value",IF(Table1[[#This Row],[Sales]]&gt;=15000,"Medium Value","Low Value"))</f>
        <v>High Value</v>
      </c>
      <c r="Y436" t="str">
        <f>IF(Table1[[#This Row],[Quantity]]&gt;=3,"Bulk Order","Regular Order")</f>
        <v>Bulk Order</v>
      </c>
      <c r="Z436" t="str">
        <f>TEXT(Table1[[#This Row],[Order Date]],"dddd")</f>
        <v>Thursday</v>
      </c>
    </row>
    <row r="437" spans="1:26" ht="14.4" x14ac:dyDescent="0.3">
      <c r="A437" t="s">
        <v>1159</v>
      </c>
      <c r="B437" t="s">
        <v>1160</v>
      </c>
      <c r="C437" s="2">
        <v>46172</v>
      </c>
      <c r="D437" t="s">
        <v>28</v>
      </c>
      <c r="E437" t="s">
        <v>78</v>
      </c>
      <c r="F437" t="s">
        <v>1161</v>
      </c>
      <c r="G437" t="s">
        <v>148</v>
      </c>
      <c r="H437" t="s">
        <v>32</v>
      </c>
      <c r="I437" t="s">
        <v>33</v>
      </c>
      <c r="J437" t="s">
        <v>59</v>
      </c>
      <c r="K437" t="s">
        <v>60</v>
      </c>
      <c r="L437" t="s">
        <v>61</v>
      </c>
      <c r="M437">
        <v>2</v>
      </c>
      <c r="N437">
        <v>16629</v>
      </c>
      <c r="O437" s="2">
        <v>10</v>
      </c>
      <c r="P437" s="2">
        <v>29932.2</v>
      </c>
      <c r="Q437" s="2">
        <v>24499.69</v>
      </c>
      <c r="R437" s="2">
        <v>5432.51</v>
      </c>
      <c r="S437" t="s">
        <v>37</v>
      </c>
      <c r="T437">
        <v>4</v>
      </c>
      <c r="U437" t="s">
        <v>90</v>
      </c>
      <c r="V437" t="s">
        <v>116</v>
      </c>
      <c r="W437" s="3">
        <f>Table1[[#This Row],[Profit]]/Table1[[#This Row],[Sales]]</f>
        <v>0.18149384275128458</v>
      </c>
      <c r="X437" t="str">
        <f>IF(Table1[[#This Row],[Sales]]&gt;=30000,"High Value",IF(Table1[[#This Row],[Sales]]&gt;=15000,"Medium Value","Low Value"))</f>
        <v>Medium Value</v>
      </c>
      <c r="Y437" t="str">
        <f>IF(Table1[[#This Row],[Quantity]]&gt;=3,"Bulk Order","Regular Order")</f>
        <v>Regular Order</v>
      </c>
      <c r="Z437" t="str">
        <f>TEXT(Table1[[#This Row],[Order Date]],"dddd")</f>
        <v>Saturday</v>
      </c>
    </row>
    <row r="438" spans="1:26" ht="14.4" x14ac:dyDescent="0.3">
      <c r="A438" t="s">
        <v>1162</v>
      </c>
      <c r="B438" t="s">
        <v>1163</v>
      </c>
      <c r="C438" s="2">
        <v>46196</v>
      </c>
      <c r="D438" t="s">
        <v>42</v>
      </c>
      <c r="E438" t="s">
        <v>66</v>
      </c>
      <c r="F438" t="s">
        <v>56</v>
      </c>
      <c r="G438" t="s">
        <v>286</v>
      </c>
      <c r="H438" t="s">
        <v>46</v>
      </c>
      <c r="I438" t="s">
        <v>33</v>
      </c>
      <c r="J438" t="s">
        <v>47</v>
      </c>
      <c r="K438" t="s">
        <v>69</v>
      </c>
      <c r="L438" t="s">
        <v>70</v>
      </c>
      <c r="M438">
        <v>2</v>
      </c>
      <c r="N438">
        <v>9302</v>
      </c>
      <c r="O438" s="2">
        <v>15</v>
      </c>
      <c r="P438" s="2">
        <v>15813.4</v>
      </c>
      <c r="Q438" s="2">
        <v>12832.4</v>
      </c>
      <c r="R438" s="2">
        <v>2981</v>
      </c>
      <c r="S438" t="s">
        <v>37</v>
      </c>
      <c r="T438">
        <v>5</v>
      </c>
      <c r="U438" t="s">
        <v>51</v>
      </c>
      <c r="V438" t="s">
        <v>63</v>
      </c>
      <c r="W438" s="3">
        <f>Table1[[#This Row],[Profit]]/Table1[[#This Row],[Sales]]</f>
        <v>0.18851100965004364</v>
      </c>
      <c r="X438" t="str">
        <f>IF(Table1[[#This Row],[Sales]]&gt;=30000,"High Value",IF(Table1[[#This Row],[Sales]]&gt;=15000,"Medium Value","Low Value"))</f>
        <v>Medium Value</v>
      </c>
      <c r="Y438" t="str">
        <f>IF(Table1[[#This Row],[Quantity]]&gt;=3,"Bulk Order","Regular Order")</f>
        <v>Regular Order</v>
      </c>
      <c r="Z438" t="str">
        <f>TEXT(Table1[[#This Row],[Order Date]],"dddd")</f>
        <v>Tuesday</v>
      </c>
    </row>
    <row r="439" spans="1:26" ht="14.4" x14ac:dyDescent="0.3">
      <c r="A439" t="s">
        <v>1164</v>
      </c>
      <c r="B439" t="s">
        <v>1165</v>
      </c>
      <c r="C439" s="2">
        <v>46155</v>
      </c>
      <c r="D439" t="s">
        <v>28</v>
      </c>
      <c r="E439" t="s">
        <v>55</v>
      </c>
      <c r="F439" t="s">
        <v>620</v>
      </c>
      <c r="G439" t="s">
        <v>94</v>
      </c>
      <c r="H439" t="s">
        <v>46</v>
      </c>
      <c r="I439" t="s">
        <v>33</v>
      </c>
      <c r="J439" t="s">
        <v>47</v>
      </c>
      <c r="K439" t="s">
        <v>69</v>
      </c>
      <c r="L439" t="s">
        <v>70</v>
      </c>
      <c r="M439">
        <v>1</v>
      </c>
      <c r="N439">
        <v>9370</v>
      </c>
      <c r="O439" s="2">
        <v>0</v>
      </c>
      <c r="P439" s="2">
        <v>9370</v>
      </c>
      <c r="Q439" s="2">
        <v>7561.74</v>
      </c>
      <c r="R439" s="2">
        <v>1808.26</v>
      </c>
      <c r="S439" t="s">
        <v>81</v>
      </c>
      <c r="T439">
        <v>5</v>
      </c>
      <c r="U439" t="s">
        <v>51</v>
      </c>
      <c r="V439" t="s">
        <v>63</v>
      </c>
      <c r="W439" s="3">
        <f>Table1[[#This Row],[Profit]]/Table1[[#This Row],[Sales]]</f>
        <v>0.19298399146211312</v>
      </c>
      <c r="X439" t="str">
        <f>IF(Table1[[#This Row],[Sales]]&gt;=30000,"High Value",IF(Table1[[#This Row],[Sales]]&gt;=15000,"Medium Value","Low Value"))</f>
        <v>Low Value</v>
      </c>
      <c r="Y439" t="str">
        <f>IF(Table1[[#This Row],[Quantity]]&gt;=3,"Bulk Order","Regular Order")</f>
        <v>Regular Order</v>
      </c>
      <c r="Z439" t="str">
        <f>TEXT(Table1[[#This Row],[Order Date]],"dddd")</f>
        <v>Wednesday</v>
      </c>
    </row>
    <row r="440" spans="1:26" ht="14.4" x14ac:dyDescent="0.3">
      <c r="A440" t="s">
        <v>1166</v>
      </c>
      <c r="B440" t="s">
        <v>1167</v>
      </c>
      <c r="C440" s="2">
        <v>46158</v>
      </c>
      <c r="D440" t="s">
        <v>28</v>
      </c>
      <c r="E440" t="s">
        <v>55</v>
      </c>
      <c r="F440" t="s">
        <v>310</v>
      </c>
      <c r="G440" t="s">
        <v>342</v>
      </c>
      <c r="H440" t="s">
        <v>46</v>
      </c>
      <c r="I440" t="s">
        <v>58</v>
      </c>
      <c r="J440" t="s">
        <v>59</v>
      </c>
      <c r="K440" t="s">
        <v>60</v>
      </c>
      <c r="L440" t="s">
        <v>61</v>
      </c>
      <c r="M440">
        <v>4</v>
      </c>
      <c r="N440">
        <v>16216</v>
      </c>
      <c r="O440" s="2">
        <v>10</v>
      </c>
      <c r="P440" s="2">
        <v>58377.599999999999</v>
      </c>
      <c r="Q440" s="2">
        <v>46962.94</v>
      </c>
      <c r="R440" s="2">
        <v>11414.66</v>
      </c>
      <c r="S440" t="s">
        <v>81</v>
      </c>
      <c r="T440">
        <v>5</v>
      </c>
      <c r="U440" t="s">
        <v>51</v>
      </c>
      <c r="V440" t="s">
        <v>39</v>
      </c>
      <c r="W440" s="3">
        <f>Table1[[#This Row],[Profit]]/Table1[[#This Row],[Sales]]</f>
        <v>0.19553150523488461</v>
      </c>
      <c r="X440" t="str">
        <f>IF(Table1[[#This Row],[Sales]]&gt;=30000,"High Value",IF(Table1[[#This Row],[Sales]]&gt;=15000,"Medium Value","Low Value"))</f>
        <v>High Value</v>
      </c>
      <c r="Y440" t="str">
        <f>IF(Table1[[#This Row],[Quantity]]&gt;=3,"Bulk Order","Regular Order")</f>
        <v>Bulk Order</v>
      </c>
      <c r="Z440" t="str">
        <f>TEXT(Table1[[#This Row],[Order Date]],"dddd")</f>
        <v>Saturday</v>
      </c>
    </row>
    <row r="441" spans="1:26" ht="14.4" x14ac:dyDescent="0.3">
      <c r="A441" t="s">
        <v>1168</v>
      </c>
      <c r="B441" t="s">
        <v>1169</v>
      </c>
      <c r="C441" s="2">
        <v>46143</v>
      </c>
      <c r="D441" t="s">
        <v>28</v>
      </c>
      <c r="E441" t="s">
        <v>29</v>
      </c>
      <c r="F441" t="s">
        <v>264</v>
      </c>
      <c r="G441" t="s">
        <v>198</v>
      </c>
      <c r="H441" t="s">
        <v>32</v>
      </c>
      <c r="I441" t="s">
        <v>33</v>
      </c>
      <c r="J441" t="s">
        <v>47</v>
      </c>
      <c r="K441" t="s">
        <v>48</v>
      </c>
      <c r="L441" t="s">
        <v>49</v>
      </c>
      <c r="M441">
        <v>1</v>
      </c>
      <c r="N441">
        <v>8541</v>
      </c>
      <c r="O441" s="2">
        <v>5</v>
      </c>
      <c r="P441" s="2">
        <v>8113.95</v>
      </c>
      <c r="Q441" s="2">
        <v>6598.65</v>
      </c>
      <c r="R441" s="2">
        <v>1515.3</v>
      </c>
      <c r="S441" t="s">
        <v>62</v>
      </c>
      <c r="T441">
        <v>5</v>
      </c>
      <c r="U441" t="s">
        <v>51</v>
      </c>
      <c r="V441" t="s">
        <v>116</v>
      </c>
      <c r="W441" s="3">
        <f>Table1[[#This Row],[Profit]]/Table1[[#This Row],[Sales]]</f>
        <v>0.18675244486347586</v>
      </c>
      <c r="X441" t="str">
        <f>IF(Table1[[#This Row],[Sales]]&gt;=30000,"High Value",IF(Table1[[#This Row],[Sales]]&gt;=15000,"Medium Value","Low Value"))</f>
        <v>Low Value</v>
      </c>
      <c r="Y441" t="str">
        <f>IF(Table1[[#This Row],[Quantity]]&gt;=3,"Bulk Order","Regular Order")</f>
        <v>Regular Order</v>
      </c>
      <c r="Z441" t="str">
        <f>TEXT(Table1[[#This Row],[Order Date]],"dddd")</f>
        <v>Friday</v>
      </c>
    </row>
    <row r="442" spans="1:26" ht="14.4" x14ac:dyDescent="0.3">
      <c r="A442" t="s">
        <v>1170</v>
      </c>
      <c r="B442" t="s">
        <v>1171</v>
      </c>
      <c r="C442" s="2">
        <v>46161</v>
      </c>
      <c r="D442" t="s">
        <v>28</v>
      </c>
      <c r="E442" t="s">
        <v>133</v>
      </c>
      <c r="F442" t="s">
        <v>584</v>
      </c>
      <c r="G442" t="s">
        <v>94</v>
      </c>
      <c r="H442" t="s">
        <v>46</v>
      </c>
      <c r="I442" t="s">
        <v>58</v>
      </c>
      <c r="J442" t="s">
        <v>47</v>
      </c>
      <c r="K442" t="s">
        <v>48</v>
      </c>
      <c r="L442" t="s">
        <v>49</v>
      </c>
      <c r="M442">
        <v>3</v>
      </c>
      <c r="N442">
        <v>8215</v>
      </c>
      <c r="O442" s="2">
        <v>10</v>
      </c>
      <c r="P442" s="2">
        <v>22180.5</v>
      </c>
      <c r="Q442" s="2">
        <v>18022.080000000002</v>
      </c>
      <c r="R442" s="2">
        <v>4158.42</v>
      </c>
      <c r="S442" t="s">
        <v>50</v>
      </c>
      <c r="T442">
        <v>4</v>
      </c>
      <c r="U442" t="s">
        <v>90</v>
      </c>
      <c r="V442" t="s">
        <v>86</v>
      </c>
      <c r="W442" s="3">
        <f>Table1[[#This Row],[Profit]]/Table1[[#This Row],[Sales]]</f>
        <v>0.18748089538107798</v>
      </c>
      <c r="X442" t="str">
        <f>IF(Table1[[#This Row],[Sales]]&gt;=30000,"High Value",IF(Table1[[#This Row],[Sales]]&gt;=15000,"Medium Value","Low Value"))</f>
        <v>Medium Value</v>
      </c>
      <c r="Y442" t="str">
        <f>IF(Table1[[#This Row],[Quantity]]&gt;=3,"Bulk Order","Regular Order")</f>
        <v>Bulk Order</v>
      </c>
      <c r="Z442" t="str">
        <f>TEXT(Table1[[#This Row],[Order Date]],"dddd")</f>
        <v>Tuesday</v>
      </c>
    </row>
    <row r="443" spans="1:26" ht="14.4" x14ac:dyDescent="0.3">
      <c r="A443" t="s">
        <v>1172</v>
      </c>
      <c r="B443" t="s">
        <v>1173</v>
      </c>
      <c r="C443" s="2">
        <v>46193</v>
      </c>
      <c r="D443" t="s">
        <v>42</v>
      </c>
      <c r="E443" t="s">
        <v>29</v>
      </c>
      <c r="F443" t="s">
        <v>1174</v>
      </c>
      <c r="G443" t="s">
        <v>322</v>
      </c>
      <c r="H443" t="s">
        <v>32</v>
      </c>
      <c r="I443" t="s">
        <v>33</v>
      </c>
      <c r="J443" t="s">
        <v>47</v>
      </c>
      <c r="K443" t="s">
        <v>48</v>
      </c>
      <c r="L443" t="s">
        <v>49</v>
      </c>
      <c r="M443">
        <v>2</v>
      </c>
      <c r="N443">
        <v>8471</v>
      </c>
      <c r="O443" s="2">
        <v>10</v>
      </c>
      <c r="P443" s="2">
        <v>15247.8</v>
      </c>
      <c r="Q443" s="2">
        <v>12163.6</v>
      </c>
      <c r="R443" s="2">
        <v>3084.2</v>
      </c>
      <c r="S443" t="s">
        <v>50</v>
      </c>
      <c r="T443">
        <v>5</v>
      </c>
      <c r="U443" t="s">
        <v>51</v>
      </c>
      <c r="V443" t="s">
        <v>52</v>
      </c>
      <c r="W443" s="3">
        <f>Table1[[#This Row],[Profit]]/Table1[[#This Row],[Sales]]</f>
        <v>0.2022718031453718</v>
      </c>
      <c r="X443" t="str">
        <f>IF(Table1[[#This Row],[Sales]]&gt;=30000,"High Value",IF(Table1[[#This Row],[Sales]]&gt;=15000,"Medium Value","Low Value"))</f>
        <v>Medium Value</v>
      </c>
      <c r="Y443" t="str">
        <f>IF(Table1[[#This Row],[Quantity]]&gt;=3,"Bulk Order","Regular Order")</f>
        <v>Regular Order</v>
      </c>
      <c r="Z443" t="str">
        <f>TEXT(Table1[[#This Row],[Order Date]],"dddd")</f>
        <v>Saturday</v>
      </c>
    </row>
    <row r="444" spans="1:26" ht="14.4" x14ac:dyDescent="0.3">
      <c r="A444" t="s">
        <v>1175</v>
      </c>
      <c r="B444" t="s">
        <v>1176</v>
      </c>
      <c r="C444" s="2">
        <v>46177</v>
      </c>
      <c r="D444" t="s">
        <v>42</v>
      </c>
      <c r="E444" t="s">
        <v>133</v>
      </c>
      <c r="F444" t="s">
        <v>515</v>
      </c>
      <c r="G444" t="s">
        <v>115</v>
      </c>
      <c r="H444" t="s">
        <v>32</v>
      </c>
      <c r="I444" t="s">
        <v>33</v>
      </c>
      <c r="J444" t="s">
        <v>169</v>
      </c>
      <c r="K444" t="s">
        <v>170</v>
      </c>
      <c r="L444" t="s">
        <v>171</v>
      </c>
      <c r="M444">
        <v>2</v>
      </c>
      <c r="N444">
        <v>10908</v>
      </c>
      <c r="O444" s="2">
        <v>5</v>
      </c>
      <c r="P444" s="2">
        <v>20725.2</v>
      </c>
      <c r="Q444" s="2">
        <v>16960.36</v>
      </c>
      <c r="R444" s="2">
        <v>3764.84</v>
      </c>
      <c r="S444" t="s">
        <v>50</v>
      </c>
      <c r="T444">
        <v>5</v>
      </c>
      <c r="U444" t="s">
        <v>51</v>
      </c>
      <c r="V444" t="s">
        <v>39</v>
      </c>
      <c r="W444" s="3">
        <f>Table1[[#This Row],[Profit]]/Table1[[#This Row],[Sales]]</f>
        <v>0.18165518306216585</v>
      </c>
      <c r="X444" t="str">
        <f>IF(Table1[[#This Row],[Sales]]&gt;=30000,"High Value",IF(Table1[[#This Row],[Sales]]&gt;=15000,"Medium Value","Low Value"))</f>
        <v>Medium Value</v>
      </c>
      <c r="Y444" t="str">
        <f>IF(Table1[[#This Row],[Quantity]]&gt;=3,"Bulk Order","Regular Order")</f>
        <v>Regular Order</v>
      </c>
      <c r="Z444" t="str">
        <f>TEXT(Table1[[#This Row],[Order Date]],"dddd")</f>
        <v>Thursday</v>
      </c>
    </row>
    <row r="445" spans="1:26" ht="14.4" x14ac:dyDescent="0.3">
      <c r="A445" t="s">
        <v>1177</v>
      </c>
      <c r="B445" t="s">
        <v>1178</v>
      </c>
      <c r="C445" s="2">
        <v>46147</v>
      </c>
      <c r="D445" t="s">
        <v>28</v>
      </c>
      <c r="E445" t="s">
        <v>133</v>
      </c>
      <c r="F445" t="s">
        <v>977</v>
      </c>
      <c r="G445" t="s">
        <v>115</v>
      </c>
      <c r="H445" t="s">
        <v>32</v>
      </c>
      <c r="I445" t="s">
        <v>33</v>
      </c>
      <c r="J445" t="s">
        <v>169</v>
      </c>
      <c r="K445" t="s">
        <v>170</v>
      </c>
      <c r="L445" t="s">
        <v>171</v>
      </c>
      <c r="M445">
        <v>1</v>
      </c>
      <c r="N445">
        <v>10147</v>
      </c>
      <c r="O445" s="2">
        <v>5</v>
      </c>
      <c r="P445" s="2">
        <v>9639.65</v>
      </c>
      <c r="Q445" s="2">
        <v>7534.91</v>
      </c>
      <c r="R445" s="2">
        <v>2104.7399999999998</v>
      </c>
      <c r="S445" t="s">
        <v>37</v>
      </c>
      <c r="T445">
        <v>5</v>
      </c>
      <c r="U445" t="s">
        <v>51</v>
      </c>
      <c r="V445" t="s">
        <v>75</v>
      </c>
      <c r="W445" s="3">
        <f>Table1[[#This Row],[Profit]]/Table1[[#This Row],[Sales]]</f>
        <v>0.21834195224930364</v>
      </c>
      <c r="X445" t="str">
        <f>IF(Table1[[#This Row],[Sales]]&gt;=30000,"High Value",IF(Table1[[#This Row],[Sales]]&gt;=15000,"Medium Value","Low Value"))</f>
        <v>Low Value</v>
      </c>
      <c r="Y445" t="str">
        <f>IF(Table1[[#This Row],[Quantity]]&gt;=3,"Bulk Order","Regular Order")</f>
        <v>Regular Order</v>
      </c>
      <c r="Z445" t="str">
        <f>TEXT(Table1[[#This Row],[Order Date]],"dddd")</f>
        <v>Tuesday</v>
      </c>
    </row>
    <row r="446" spans="1:26" ht="14.4" x14ac:dyDescent="0.3">
      <c r="A446" t="s">
        <v>1179</v>
      </c>
      <c r="B446" t="s">
        <v>1180</v>
      </c>
      <c r="C446" s="2">
        <v>46184</v>
      </c>
      <c r="D446" t="s">
        <v>42</v>
      </c>
      <c r="E446" t="s">
        <v>29</v>
      </c>
      <c r="F446" t="s">
        <v>378</v>
      </c>
      <c r="G446" t="s">
        <v>115</v>
      </c>
      <c r="H446" t="s">
        <v>32</v>
      </c>
      <c r="I446" t="s">
        <v>58</v>
      </c>
      <c r="J446" t="s">
        <v>59</v>
      </c>
      <c r="K446" t="s">
        <v>95</v>
      </c>
      <c r="L446" t="s">
        <v>36</v>
      </c>
      <c r="M446">
        <v>5</v>
      </c>
      <c r="N446">
        <v>16920</v>
      </c>
      <c r="O446" s="2">
        <v>5</v>
      </c>
      <c r="P446" s="2">
        <v>80370</v>
      </c>
      <c r="Q446" s="2">
        <v>65739.839999999997</v>
      </c>
      <c r="R446" s="2">
        <v>14630.16</v>
      </c>
      <c r="S446" t="s">
        <v>37</v>
      </c>
      <c r="T446">
        <v>5</v>
      </c>
      <c r="U446" t="s">
        <v>51</v>
      </c>
      <c r="V446" t="s">
        <v>63</v>
      </c>
      <c r="W446" s="3">
        <f>Table1[[#This Row],[Profit]]/Table1[[#This Row],[Sales]]</f>
        <v>0.18203508771929824</v>
      </c>
      <c r="X446" t="str">
        <f>IF(Table1[[#This Row],[Sales]]&gt;=30000,"High Value",IF(Table1[[#This Row],[Sales]]&gt;=15000,"Medium Value","Low Value"))</f>
        <v>High Value</v>
      </c>
      <c r="Y446" t="str">
        <f>IF(Table1[[#This Row],[Quantity]]&gt;=3,"Bulk Order","Regular Order")</f>
        <v>Bulk Order</v>
      </c>
      <c r="Z446" t="str">
        <f>TEXT(Table1[[#This Row],[Order Date]],"dddd")</f>
        <v>Thursday</v>
      </c>
    </row>
    <row r="447" spans="1:26" ht="14.4" x14ac:dyDescent="0.3">
      <c r="A447" t="s">
        <v>1181</v>
      </c>
      <c r="B447" t="s">
        <v>1182</v>
      </c>
      <c r="C447" s="2">
        <v>46152</v>
      </c>
      <c r="D447" t="s">
        <v>28</v>
      </c>
      <c r="E447" t="s">
        <v>55</v>
      </c>
      <c r="F447" t="s">
        <v>79</v>
      </c>
      <c r="G447" t="s">
        <v>198</v>
      </c>
      <c r="H447" t="s">
        <v>32</v>
      </c>
      <c r="I447" t="s">
        <v>58</v>
      </c>
      <c r="J447" t="s">
        <v>47</v>
      </c>
      <c r="K447" t="s">
        <v>69</v>
      </c>
      <c r="L447" t="s">
        <v>70</v>
      </c>
      <c r="M447">
        <v>3</v>
      </c>
      <c r="N447">
        <v>8642</v>
      </c>
      <c r="O447" s="2">
        <v>15</v>
      </c>
      <c r="P447" s="2">
        <v>22037.1</v>
      </c>
      <c r="Q447" s="2">
        <v>17603.349999999999</v>
      </c>
      <c r="R447" s="2">
        <v>4433.75</v>
      </c>
      <c r="S447" t="s">
        <v>37</v>
      </c>
      <c r="T447">
        <v>3</v>
      </c>
      <c r="U447" t="s">
        <v>51</v>
      </c>
      <c r="V447" t="s">
        <v>39</v>
      </c>
      <c r="W447" s="3">
        <f>Table1[[#This Row],[Profit]]/Table1[[#This Row],[Sales]]</f>
        <v>0.20119480330896536</v>
      </c>
      <c r="X447" t="str">
        <f>IF(Table1[[#This Row],[Sales]]&gt;=30000,"High Value",IF(Table1[[#This Row],[Sales]]&gt;=15000,"Medium Value","Low Value"))</f>
        <v>Medium Value</v>
      </c>
      <c r="Y447" t="str">
        <f>IF(Table1[[#This Row],[Quantity]]&gt;=3,"Bulk Order","Regular Order")</f>
        <v>Bulk Order</v>
      </c>
      <c r="Z447" t="str">
        <f>TEXT(Table1[[#This Row],[Order Date]],"dddd")</f>
        <v>Sunday</v>
      </c>
    </row>
    <row r="448" spans="1:26" ht="14.4" x14ac:dyDescent="0.3">
      <c r="A448" t="s">
        <v>1183</v>
      </c>
      <c r="B448" t="s">
        <v>1184</v>
      </c>
      <c r="C448" s="2">
        <v>46179</v>
      </c>
      <c r="D448" t="s">
        <v>42</v>
      </c>
      <c r="E448" t="s">
        <v>133</v>
      </c>
      <c r="F448" t="s">
        <v>107</v>
      </c>
      <c r="G448" t="s">
        <v>218</v>
      </c>
      <c r="H448" t="s">
        <v>46</v>
      </c>
      <c r="I448" t="s">
        <v>33</v>
      </c>
      <c r="J448" t="s">
        <v>59</v>
      </c>
      <c r="K448" t="s">
        <v>95</v>
      </c>
      <c r="L448" t="s">
        <v>36</v>
      </c>
      <c r="M448">
        <v>1</v>
      </c>
      <c r="N448">
        <v>14732</v>
      </c>
      <c r="O448" s="2">
        <v>10</v>
      </c>
      <c r="P448" s="2">
        <v>13258.8</v>
      </c>
      <c r="Q448" s="2">
        <v>10565.24</v>
      </c>
      <c r="R448" s="2">
        <v>2693.56</v>
      </c>
      <c r="S448" t="s">
        <v>50</v>
      </c>
      <c r="T448">
        <v>4</v>
      </c>
      <c r="U448" t="s">
        <v>51</v>
      </c>
      <c r="V448" t="s">
        <v>86</v>
      </c>
      <c r="W448" s="3">
        <f>Table1[[#This Row],[Profit]]/Table1[[#This Row],[Sales]]</f>
        <v>0.20315262316348387</v>
      </c>
      <c r="X448" t="str">
        <f>IF(Table1[[#This Row],[Sales]]&gt;=30000,"High Value",IF(Table1[[#This Row],[Sales]]&gt;=15000,"Medium Value","Low Value"))</f>
        <v>Low Value</v>
      </c>
      <c r="Y448" t="str">
        <f>IF(Table1[[#This Row],[Quantity]]&gt;=3,"Bulk Order","Regular Order")</f>
        <v>Regular Order</v>
      </c>
      <c r="Z448" t="str">
        <f>TEXT(Table1[[#This Row],[Order Date]],"dddd")</f>
        <v>Saturday</v>
      </c>
    </row>
    <row r="449" spans="1:26" ht="14.4" x14ac:dyDescent="0.3">
      <c r="A449" t="s">
        <v>1185</v>
      </c>
      <c r="B449" t="s">
        <v>1186</v>
      </c>
      <c r="C449" s="2">
        <v>46161</v>
      </c>
      <c r="D449" t="s">
        <v>28</v>
      </c>
      <c r="E449" t="s">
        <v>66</v>
      </c>
      <c r="F449" t="s">
        <v>316</v>
      </c>
      <c r="G449" t="s">
        <v>218</v>
      </c>
      <c r="H449" t="s">
        <v>46</v>
      </c>
      <c r="I449" t="s">
        <v>58</v>
      </c>
      <c r="J449" t="s">
        <v>47</v>
      </c>
      <c r="K449" t="s">
        <v>69</v>
      </c>
      <c r="L449" t="s">
        <v>70</v>
      </c>
      <c r="M449">
        <v>5</v>
      </c>
      <c r="N449">
        <v>9103</v>
      </c>
      <c r="O449" s="2">
        <v>0</v>
      </c>
      <c r="P449" s="2">
        <v>45515</v>
      </c>
      <c r="Q449" s="2">
        <v>36603.5</v>
      </c>
      <c r="R449" s="2">
        <v>8911.5</v>
      </c>
      <c r="S449" t="s">
        <v>37</v>
      </c>
      <c r="T449">
        <v>5</v>
      </c>
      <c r="U449" t="s">
        <v>51</v>
      </c>
      <c r="V449" t="s">
        <v>86</v>
      </c>
      <c r="W449" s="3">
        <f>Table1[[#This Row],[Profit]]/Table1[[#This Row],[Sales]]</f>
        <v>0.19579259584752279</v>
      </c>
      <c r="X449" t="str">
        <f>IF(Table1[[#This Row],[Sales]]&gt;=30000,"High Value",IF(Table1[[#This Row],[Sales]]&gt;=15000,"Medium Value","Low Value"))</f>
        <v>High Value</v>
      </c>
      <c r="Y449" t="str">
        <f>IF(Table1[[#This Row],[Quantity]]&gt;=3,"Bulk Order","Regular Order")</f>
        <v>Bulk Order</v>
      </c>
      <c r="Z449" t="str">
        <f>TEXT(Table1[[#This Row],[Order Date]],"dddd")</f>
        <v>Tuesday</v>
      </c>
    </row>
    <row r="450" spans="1:26" ht="14.4" x14ac:dyDescent="0.3">
      <c r="A450" t="s">
        <v>1187</v>
      </c>
      <c r="B450" t="s">
        <v>1188</v>
      </c>
      <c r="C450" s="2">
        <v>46145</v>
      </c>
      <c r="D450" t="s">
        <v>28</v>
      </c>
      <c r="E450" t="s">
        <v>78</v>
      </c>
      <c r="F450" t="s">
        <v>398</v>
      </c>
      <c r="G450" t="s">
        <v>454</v>
      </c>
      <c r="H450" t="s">
        <v>32</v>
      </c>
      <c r="I450" t="s">
        <v>58</v>
      </c>
      <c r="J450" t="s">
        <v>47</v>
      </c>
      <c r="K450" t="s">
        <v>48</v>
      </c>
      <c r="L450" t="s">
        <v>49</v>
      </c>
      <c r="M450">
        <v>5</v>
      </c>
      <c r="N450">
        <v>8697</v>
      </c>
      <c r="O450" s="2">
        <v>0</v>
      </c>
      <c r="P450" s="2">
        <v>43485</v>
      </c>
      <c r="Q450" s="2">
        <v>35015.54</v>
      </c>
      <c r="R450" s="2">
        <v>8469.4599999999991</v>
      </c>
      <c r="S450" t="s">
        <v>62</v>
      </c>
      <c r="T450">
        <v>4</v>
      </c>
      <c r="U450" t="s">
        <v>51</v>
      </c>
      <c r="V450" t="s">
        <v>116</v>
      </c>
      <c r="W450" s="3">
        <f>Table1[[#This Row],[Profit]]/Table1[[#This Row],[Sales]]</f>
        <v>0.19476739105438656</v>
      </c>
      <c r="X450" t="str">
        <f>IF(Table1[[#This Row],[Sales]]&gt;=30000,"High Value",IF(Table1[[#This Row],[Sales]]&gt;=15000,"Medium Value","Low Value"))</f>
        <v>High Value</v>
      </c>
      <c r="Y450" t="str">
        <f>IF(Table1[[#This Row],[Quantity]]&gt;=3,"Bulk Order","Regular Order")</f>
        <v>Bulk Order</v>
      </c>
      <c r="Z450" t="str">
        <f>TEXT(Table1[[#This Row],[Order Date]],"dddd")</f>
        <v>Sunday</v>
      </c>
    </row>
    <row r="451" spans="1:26" ht="14.4" x14ac:dyDescent="0.3">
      <c r="A451" t="s">
        <v>1189</v>
      </c>
      <c r="B451" t="s">
        <v>1190</v>
      </c>
      <c r="C451" s="2">
        <v>46171</v>
      </c>
      <c r="D451" t="s">
        <v>28</v>
      </c>
      <c r="E451" t="s">
        <v>133</v>
      </c>
      <c r="F451" t="s">
        <v>493</v>
      </c>
      <c r="G451" t="s">
        <v>193</v>
      </c>
      <c r="H451" t="s">
        <v>32</v>
      </c>
      <c r="I451" t="s">
        <v>33</v>
      </c>
      <c r="J451" t="s">
        <v>59</v>
      </c>
      <c r="K451" t="s">
        <v>60</v>
      </c>
      <c r="L451" t="s">
        <v>61</v>
      </c>
      <c r="M451">
        <v>2</v>
      </c>
      <c r="N451">
        <v>17750</v>
      </c>
      <c r="O451" s="2">
        <v>5</v>
      </c>
      <c r="P451" s="2">
        <v>33725</v>
      </c>
      <c r="Q451" s="2">
        <v>27012.04</v>
      </c>
      <c r="R451" s="2">
        <v>6712.96</v>
      </c>
      <c r="S451" t="s">
        <v>37</v>
      </c>
      <c r="T451">
        <v>5</v>
      </c>
      <c r="U451" t="s">
        <v>38</v>
      </c>
      <c r="V451" t="s">
        <v>63</v>
      </c>
      <c r="W451" s="3">
        <f>Table1[[#This Row],[Profit]]/Table1[[#This Row],[Sales]]</f>
        <v>0.19904996293550778</v>
      </c>
      <c r="X451" t="str">
        <f>IF(Table1[[#This Row],[Sales]]&gt;=30000,"High Value",IF(Table1[[#This Row],[Sales]]&gt;=15000,"Medium Value","Low Value"))</f>
        <v>High Value</v>
      </c>
      <c r="Y451" t="str">
        <f>IF(Table1[[#This Row],[Quantity]]&gt;=3,"Bulk Order","Regular Order")</f>
        <v>Regular Order</v>
      </c>
      <c r="Z451" t="str">
        <f>TEXT(Table1[[#This Row],[Order Date]],"dddd")</f>
        <v>Friday</v>
      </c>
    </row>
    <row r="452" spans="1:26" ht="14.4" x14ac:dyDescent="0.3">
      <c r="A452" t="s">
        <v>1191</v>
      </c>
      <c r="B452" t="s">
        <v>1192</v>
      </c>
      <c r="C452" s="2">
        <v>46172</v>
      </c>
      <c r="D452" t="s">
        <v>28</v>
      </c>
      <c r="E452" t="s">
        <v>133</v>
      </c>
      <c r="F452" t="s">
        <v>361</v>
      </c>
      <c r="G452" t="s">
        <v>454</v>
      </c>
      <c r="H452" t="s">
        <v>32</v>
      </c>
      <c r="I452" t="s">
        <v>58</v>
      </c>
      <c r="J452" t="s">
        <v>169</v>
      </c>
      <c r="K452" t="s">
        <v>170</v>
      </c>
      <c r="L452" t="s">
        <v>171</v>
      </c>
      <c r="M452">
        <v>5</v>
      </c>
      <c r="N452">
        <v>10225</v>
      </c>
      <c r="O452" s="2">
        <v>5</v>
      </c>
      <c r="P452" s="2">
        <v>48568.75</v>
      </c>
      <c r="Q452" s="2">
        <v>38519.129999999997</v>
      </c>
      <c r="R452" s="2">
        <v>10049.620000000001</v>
      </c>
      <c r="S452" t="s">
        <v>50</v>
      </c>
      <c r="T452">
        <v>4</v>
      </c>
      <c r="U452" t="s">
        <v>51</v>
      </c>
      <c r="V452" t="s">
        <v>75</v>
      </c>
      <c r="W452" s="3">
        <f>Table1[[#This Row],[Profit]]/Table1[[#This Row],[Sales]]</f>
        <v>0.20691535194955607</v>
      </c>
      <c r="X452" t="str">
        <f>IF(Table1[[#This Row],[Sales]]&gt;=30000,"High Value",IF(Table1[[#This Row],[Sales]]&gt;=15000,"Medium Value","Low Value"))</f>
        <v>High Value</v>
      </c>
      <c r="Y452" t="str">
        <f>IF(Table1[[#This Row],[Quantity]]&gt;=3,"Bulk Order","Regular Order")</f>
        <v>Bulk Order</v>
      </c>
      <c r="Z452" t="str">
        <f>TEXT(Table1[[#This Row],[Order Date]],"dddd")</f>
        <v>Saturday</v>
      </c>
    </row>
    <row r="453" spans="1:26" ht="14.4" x14ac:dyDescent="0.3">
      <c r="A453" t="s">
        <v>1193</v>
      </c>
      <c r="B453" t="s">
        <v>1194</v>
      </c>
      <c r="C453" s="2">
        <v>46152</v>
      </c>
      <c r="D453" t="s">
        <v>28</v>
      </c>
      <c r="E453" t="s">
        <v>55</v>
      </c>
      <c r="F453" t="s">
        <v>1161</v>
      </c>
      <c r="G453" t="s">
        <v>161</v>
      </c>
      <c r="H453" t="s">
        <v>32</v>
      </c>
      <c r="I453" t="s">
        <v>33</v>
      </c>
      <c r="J453" t="s">
        <v>59</v>
      </c>
      <c r="K453" t="s">
        <v>95</v>
      </c>
      <c r="L453" t="s">
        <v>36</v>
      </c>
      <c r="M453">
        <v>1</v>
      </c>
      <c r="N453">
        <v>14813</v>
      </c>
      <c r="O453" s="2">
        <v>5</v>
      </c>
      <c r="P453" s="2">
        <v>14072.35</v>
      </c>
      <c r="Q453" s="2">
        <v>11331.01</v>
      </c>
      <c r="R453" s="2">
        <v>2741.34</v>
      </c>
      <c r="S453" t="s">
        <v>81</v>
      </c>
      <c r="T453">
        <v>4</v>
      </c>
      <c r="U453" t="s">
        <v>51</v>
      </c>
      <c r="V453" t="s">
        <v>75</v>
      </c>
      <c r="W453" s="3">
        <f>Table1[[#This Row],[Profit]]/Table1[[#This Row],[Sales]]</f>
        <v>0.19480328445497733</v>
      </c>
      <c r="X453" t="str">
        <f>IF(Table1[[#This Row],[Sales]]&gt;=30000,"High Value",IF(Table1[[#This Row],[Sales]]&gt;=15000,"Medium Value","Low Value"))</f>
        <v>Low Value</v>
      </c>
      <c r="Y453" t="str">
        <f>IF(Table1[[#This Row],[Quantity]]&gt;=3,"Bulk Order","Regular Order")</f>
        <v>Regular Order</v>
      </c>
      <c r="Z453" t="str">
        <f>TEXT(Table1[[#This Row],[Order Date]],"dddd")</f>
        <v>Sunday</v>
      </c>
    </row>
    <row r="454" spans="1:26" ht="14.4" x14ac:dyDescent="0.3">
      <c r="A454" t="s">
        <v>1195</v>
      </c>
      <c r="B454" t="s">
        <v>1196</v>
      </c>
      <c r="C454" s="2">
        <v>46184</v>
      </c>
      <c r="D454" t="s">
        <v>42</v>
      </c>
      <c r="E454" t="s">
        <v>55</v>
      </c>
      <c r="F454" t="s">
        <v>570</v>
      </c>
      <c r="G454" t="s">
        <v>342</v>
      </c>
      <c r="H454" t="s">
        <v>46</v>
      </c>
      <c r="I454" t="s">
        <v>33</v>
      </c>
      <c r="J454" t="s">
        <v>149</v>
      </c>
      <c r="K454" t="s">
        <v>150</v>
      </c>
      <c r="L454" t="s">
        <v>151</v>
      </c>
      <c r="M454">
        <v>1</v>
      </c>
      <c r="N454">
        <v>4093</v>
      </c>
      <c r="O454" s="2">
        <v>10</v>
      </c>
      <c r="P454" s="2">
        <v>3683.7</v>
      </c>
      <c r="Q454" s="2">
        <v>2738.7</v>
      </c>
      <c r="R454" s="2">
        <v>945</v>
      </c>
      <c r="S454" t="s">
        <v>37</v>
      </c>
      <c r="T454">
        <v>5</v>
      </c>
      <c r="U454" t="s">
        <v>51</v>
      </c>
      <c r="V454" t="s">
        <v>52</v>
      </c>
      <c r="W454" s="3">
        <f>Table1[[#This Row],[Profit]]/Table1[[#This Row],[Sales]]</f>
        <v>0.25653554849743465</v>
      </c>
      <c r="X454" t="str">
        <f>IF(Table1[[#This Row],[Sales]]&gt;=30000,"High Value",IF(Table1[[#This Row],[Sales]]&gt;=15000,"Medium Value","Low Value"))</f>
        <v>Low Value</v>
      </c>
      <c r="Y454" t="str">
        <f>IF(Table1[[#This Row],[Quantity]]&gt;=3,"Bulk Order","Regular Order")</f>
        <v>Regular Order</v>
      </c>
      <c r="Z454" t="str">
        <f>TEXT(Table1[[#This Row],[Order Date]],"dddd")</f>
        <v>Thursday</v>
      </c>
    </row>
    <row r="455" spans="1:26" ht="14.4" x14ac:dyDescent="0.3">
      <c r="A455" t="s">
        <v>1197</v>
      </c>
      <c r="B455" t="s">
        <v>1198</v>
      </c>
      <c r="C455" s="2">
        <v>46173</v>
      </c>
      <c r="D455" t="s">
        <v>28</v>
      </c>
      <c r="E455" t="s">
        <v>102</v>
      </c>
      <c r="F455" t="s">
        <v>1127</v>
      </c>
      <c r="G455" t="s">
        <v>412</v>
      </c>
      <c r="H455" t="s">
        <v>46</v>
      </c>
      <c r="I455" t="s">
        <v>58</v>
      </c>
      <c r="J455" t="s">
        <v>169</v>
      </c>
      <c r="K455" t="s">
        <v>170</v>
      </c>
      <c r="L455" t="s">
        <v>171</v>
      </c>
      <c r="M455">
        <v>3</v>
      </c>
      <c r="N455">
        <v>9852</v>
      </c>
      <c r="O455" s="2">
        <v>10</v>
      </c>
      <c r="P455" s="2">
        <v>26600.400000000001</v>
      </c>
      <c r="Q455" s="2">
        <v>21495.119999999999</v>
      </c>
      <c r="R455" s="2">
        <v>5105.28</v>
      </c>
      <c r="S455" t="s">
        <v>50</v>
      </c>
      <c r="T455">
        <v>4</v>
      </c>
      <c r="U455" t="s">
        <v>51</v>
      </c>
      <c r="V455" t="s">
        <v>75</v>
      </c>
      <c r="W455" s="3">
        <f>Table1[[#This Row],[Profit]]/Table1[[#This Row],[Sales]]</f>
        <v>0.1919249334596472</v>
      </c>
      <c r="X455" t="str">
        <f>IF(Table1[[#This Row],[Sales]]&gt;=30000,"High Value",IF(Table1[[#This Row],[Sales]]&gt;=15000,"Medium Value","Low Value"))</f>
        <v>Medium Value</v>
      </c>
      <c r="Y455" t="str">
        <f>IF(Table1[[#This Row],[Quantity]]&gt;=3,"Bulk Order","Regular Order")</f>
        <v>Bulk Order</v>
      </c>
      <c r="Z455" t="str">
        <f>TEXT(Table1[[#This Row],[Order Date]],"dddd")</f>
        <v>Sunday</v>
      </c>
    </row>
    <row r="456" spans="1:26" ht="14.4" x14ac:dyDescent="0.3">
      <c r="A456" t="s">
        <v>1199</v>
      </c>
      <c r="B456" t="s">
        <v>1200</v>
      </c>
      <c r="C456" s="2">
        <v>46174</v>
      </c>
      <c r="D456" t="s">
        <v>42</v>
      </c>
      <c r="E456" t="s">
        <v>55</v>
      </c>
      <c r="F456" t="s">
        <v>207</v>
      </c>
      <c r="G456" t="s">
        <v>218</v>
      </c>
      <c r="H456" t="s">
        <v>46</v>
      </c>
      <c r="I456" t="s">
        <v>58</v>
      </c>
      <c r="J456" t="s">
        <v>59</v>
      </c>
      <c r="K456" t="s">
        <v>60</v>
      </c>
      <c r="L456" t="s">
        <v>61</v>
      </c>
      <c r="M456">
        <v>4</v>
      </c>
      <c r="N456">
        <v>17949</v>
      </c>
      <c r="O456" s="2">
        <v>10</v>
      </c>
      <c r="P456" s="2">
        <v>64616.4</v>
      </c>
      <c r="Q456" s="2">
        <v>51928.89</v>
      </c>
      <c r="R456" s="2">
        <v>12687.51</v>
      </c>
      <c r="S456" t="s">
        <v>81</v>
      </c>
      <c r="T456">
        <v>4</v>
      </c>
      <c r="U456" t="s">
        <v>51</v>
      </c>
      <c r="V456" t="s">
        <v>86</v>
      </c>
      <c r="W456" s="3">
        <f>Table1[[#This Row],[Profit]]/Table1[[#This Row],[Sales]]</f>
        <v>0.19635123590914999</v>
      </c>
      <c r="X456" t="str">
        <f>IF(Table1[[#This Row],[Sales]]&gt;=30000,"High Value",IF(Table1[[#This Row],[Sales]]&gt;=15000,"Medium Value","Low Value"))</f>
        <v>High Value</v>
      </c>
      <c r="Y456" t="str">
        <f>IF(Table1[[#This Row],[Quantity]]&gt;=3,"Bulk Order","Regular Order")</f>
        <v>Bulk Order</v>
      </c>
      <c r="Z456" t="str">
        <f>TEXT(Table1[[#This Row],[Order Date]],"dddd")</f>
        <v>Monday</v>
      </c>
    </row>
    <row r="457" spans="1:26" ht="14.4" x14ac:dyDescent="0.3">
      <c r="A457" t="s">
        <v>1201</v>
      </c>
      <c r="B457" t="s">
        <v>1202</v>
      </c>
      <c r="C457" s="2">
        <v>46145</v>
      </c>
      <c r="D457" t="s">
        <v>28</v>
      </c>
      <c r="E457" t="s">
        <v>133</v>
      </c>
      <c r="F457" t="s">
        <v>214</v>
      </c>
      <c r="G457" t="s">
        <v>182</v>
      </c>
      <c r="H457" t="s">
        <v>46</v>
      </c>
      <c r="I457" t="s">
        <v>33</v>
      </c>
      <c r="J457" t="s">
        <v>34</v>
      </c>
      <c r="K457" t="s">
        <v>35</v>
      </c>
      <c r="L457" t="s">
        <v>36</v>
      </c>
      <c r="M457">
        <v>2</v>
      </c>
      <c r="N457">
        <v>13690</v>
      </c>
      <c r="O457" s="2">
        <v>10</v>
      </c>
      <c r="P457" s="2">
        <v>24642</v>
      </c>
      <c r="Q457" s="2">
        <v>19778.91</v>
      </c>
      <c r="R457" s="2">
        <v>4863.09</v>
      </c>
      <c r="S457" t="s">
        <v>37</v>
      </c>
      <c r="T457">
        <v>3</v>
      </c>
      <c r="U457" t="s">
        <v>51</v>
      </c>
      <c r="V457" t="s">
        <v>39</v>
      </c>
      <c r="W457" s="3">
        <f>Table1[[#This Row],[Profit]]/Table1[[#This Row],[Sales]]</f>
        <v>0.19734964694424154</v>
      </c>
      <c r="X457" t="str">
        <f>IF(Table1[[#This Row],[Sales]]&gt;=30000,"High Value",IF(Table1[[#This Row],[Sales]]&gt;=15000,"Medium Value","Low Value"))</f>
        <v>Medium Value</v>
      </c>
      <c r="Y457" t="str">
        <f>IF(Table1[[#This Row],[Quantity]]&gt;=3,"Bulk Order","Regular Order")</f>
        <v>Regular Order</v>
      </c>
      <c r="Z457" t="str">
        <f>TEXT(Table1[[#This Row],[Order Date]],"dddd")</f>
        <v>Sunday</v>
      </c>
    </row>
    <row r="458" spans="1:26" ht="14.4" x14ac:dyDescent="0.3">
      <c r="A458" t="s">
        <v>1203</v>
      </c>
      <c r="B458" t="s">
        <v>1204</v>
      </c>
      <c r="C458" s="2">
        <v>46170</v>
      </c>
      <c r="D458" t="s">
        <v>28</v>
      </c>
      <c r="E458" t="s">
        <v>55</v>
      </c>
      <c r="F458" t="s">
        <v>67</v>
      </c>
      <c r="G458" t="s">
        <v>138</v>
      </c>
      <c r="H458" t="s">
        <v>32</v>
      </c>
      <c r="I458" t="s">
        <v>33</v>
      </c>
      <c r="J458" t="s">
        <v>47</v>
      </c>
      <c r="K458" t="s">
        <v>48</v>
      </c>
      <c r="L458" t="s">
        <v>49</v>
      </c>
      <c r="M458">
        <v>2</v>
      </c>
      <c r="N458">
        <v>8016</v>
      </c>
      <c r="O458" s="2">
        <v>10</v>
      </c>
      <c r="P458" s="2">
        <v>14428.8</v>
      </c>
      <c r="Q458" s="2">
        <v>11284.36</v>
      </c>
      <c r="R458" s="2">
        <v>3144.44</v>
      </c>
      <c r="S458" t="s">
        <v>81</v>
      </c>
      <c r="T458">
        <v>5</v>
      </c>
      <c r="U458" t="s">
        <v>51</v>
      </c>
      <c r="V458" t="s">
        <v>63</v>
      </c>
      <c r="W458" s="3">
        <f>Table1[[#This Row],[Profit]]/Table1[[#This Row],[Sales]]</f>
        <v>0.21792803282324241</v>
      </c>
      <c r="X458" t="str">
        <f>IF(Table1[[#This Row],[Sales]]&gt;=30000,"High Value",IF(Table1[[#This Row],[Sales]]&gt;=15000,"Medium Value","Low Value"))</f>
        <v>Low Value</v>
      </c>
      <c r="Y458" t="str">
        <f>IF(Table1[[#This Row],[Quantity]]&gt;=3,"Bulk Order","Regular Order")</f>
        <v>Regular Order</v>
      </c>
      <c r="Z458" t="str">
        <f>TEXT(Table1[[#This Row],[Order Date]],"dddd")</f>
        <v>Thursday</v>
      </c>
    </row>
    <row r="459" spans="1:26" ht="14.4" x14ac:dyDescent="0.3">
      <c r="A459" t="s">
        <v>1205</v>
      </c>
      <c r="B459" t="s">
        <v>1206</v>
      </c>
      <c r="C459" s="2">
        <v>46198</v>
      </c>
      <c r="D459" t="s">
        <v>42</v>
      </c>
      <c r="E459" t="s">
        <v>78</v>
      </c>
      <c r="F459" t="s">
        <v>598</v>
      </c>
      <c r="G459" t="s">
        <v>225</v>
      </c>
      <c r="H459" t="s">
        <v>32</v>
      </c>
      <c r="I459" t="s">
        <v>58</v>
      </c>
      <c r="J459" t="s">
        <v>59</v>
      </c>
      <c r="K459" t="s">
        <v>60</v>
      </c>
      <c r="L459" t="s">
        <v>61</v>
      </c>
      <c r="M459">
        <v>5</v>
      </c>
      <c r="N459">
        <v>17683</v>
      </c>
      <c r="O459" s="2">
        <v>5</v>
      </c>
      <c r="P459" s="2">
        <v>83994.25</v>
      </c>
      <c r="Q459" s="2">
        <v>65718.05</v>
      </c>
      <c r="R459" s="2">
        <v>18276.2</v>
      </c>
      <c r="S459" t="s">
        <v>37</v>
      </c>
      <c r="T459">
        <v>3</v>
      </c>
      <c r="U459" t="s">
        <v>51</v>
      </c>
      <c r="V459" t="s">
        <v>52</v>
      </c>
      <c r="W459" s="3">
        <f>Table1[[#This Row],[Profit]]/Table1[[#This Row],[Sales]]</f>
        <v>0.21758870398866589</v>
      </c>
      <c r="X459" t="str">
        <f>IF(Table1[[#This Row],[Sales]]&gt;=30000,"High Value",IF(Table1[[#This Row],[Sales]]&gt;=15000,"Medium Value","Low Value"))</f>
        <v>High Value</v>
      </c>
      <c r="Y459" t="str">
        <f>IF(Table1[[#This Row],[Quantity]]&gt;=3,"Bulk Order","Regular Order")</f>
        <v>Bulk Order</v>
      </c>
      <c r="Z459" t="str">
        <f>TEXT(Table1[[#This Row],[Order Date]],"dddd")</f>
        <v>Thursday</v>
      </c>
    </row>
    <row r="460" spans="1:26" ht="14.4" x14ac:dyDescent="0.3">
      <c r="A460" t="s">
        <v>1207</v>
      </c>
      <c r="B460" t="s">
        <v>1208</v>
      </c>
      <c r="C460" s="2">
        <v>46196</v>
      </c>
      <c r="D460" t="s">
        <v>42</v>
      </c>
      <c r="E460" t="s">
        <v>55</v>
      </c>
      <c r="F460" t="s">
        <v>1161</v>
      </c>
      <c r="G460" t="s">
        <v>175</v>
      </c>
      <c r="H460" t="s">
        <v>32</v>
      </c>
      <c r="I460" t="s">
        <v>33</v>
      </c>
      <c r="J460" t="s">
        <v>47</v>
      </c>
      <c r="K460" t="s">
        <v>69</v>
      </c>
      <c r="L460" t="s">
        <v>70</v>
      </c>
      <c r="M460">
        <v>2</v>
      </c>
      <c r="N460">
        <v>8868</v>
      </c>
      <c r="O460" s="2">
        <v>5</v>
      </c>
      <c r="P460" s="2">
        <v>16849.2</v>
      </c>
      <c r="Q460" s="2">
        <v>13270.58</v>
      </c>
      <c r="R460" s="2">
        <v>3578.62</v>
      </c>
      <c r="S460" t="s">
        <v>50</v>
      </c>
      <c r="T460">
        <v>4</v>
      </c>
      <c r="U460" t="s">
        <v>51</v>
      </c>
      <c r="V460" t="s">
        <v>75</v>
      </c>
      <c r="W460" s="3">
        <f>Table1[[#This Row],[Profit]]/Table1[[#This Row],[Sales]]</f>
        <v>0.21239109275217813</v>
      </c>
      <c r="X460" t="str">
        <f>IF(Table1[[#This Row],[Sales]]&gt;=30000,"High Value",IF(Table1[[#This Row],[Sales]]&gt;=15000,"Medium Value","Low Value"))</f>
        <v>Medium Value</v>
      </c>
      <c r="Y460" t="str">
        <f>IF(Table1[[#This Row],[Quantity]]&gt;=3,"Bulk Order","Regular Order")</f>
        <v>Regular Order</v>
      </c>
      <c r="Z460" t="str">
        <f>TEXT(Table1[[#This Row],[Order Date]],"dddd")</f>
        <v>Tuesday</v>
      </c>
    </row>
    <row r="461" spans="1:26" ht="14.4" x14ac:dyDescent="0.3">
      <c r="A461" t="s">
        <v>1209</v>
      </c>
      <c r="B461" t="s">
        <v>1210</v>
      </c>
      <c r="C461" s="2">
        <v>46152</v>
      </c>
      <c r="D461" t="s">
        <v>28</v>
      </c>
      <c r="E461" t="s">
        <v>102</v>
      </c>
      <c r="F461" t="s">
        <v>238</v>
      </c>
      <c r="G461" t="s">
        <v>175</v>
      </c>
      <c r="H461" t="s">
        <v>32</v>
      </c>
      <c r="I461" t="s">
        <v>58</v>
      </c>
      <c r="J461" t="s">
        <v>34</v>
      </c>
      <c r="K461" t="s">
        <v>35</v>
      </c>
      <c r="L461" t="s">
        <v>36</v>
      </c>
      <c r="M461">
        <v>3</v>
      </c>
      <c r="N461">
        <v>12051</v>
      </c>
      <c r="O461" s="2">
        <v>5</v>
      </c>
      <c r="P461" s="2">
        <v>34345.35</v>
      </c>
      <c r="Q461" s="2">
        <v>27916.080000000002</v>
      </c>
      <c r="R461" s="2">
        <v>6429.27</v>
      </c>
      <c r="S461" t="s">
        <v>37</v>
      </c>
      <c r="T461">
        <v>3</v>
      </c>
      <c r="U461" t="s">
        <v>51</v>
      </c>
      <c r="V461" t="s">
        <v>52</v>
      </c>
      <c r="W461" s="3">
        <f>Table1[[#This Row],[Profit]]/Table1[[#This Row],[Sales]]</f>
        <v>0.18719477309155391</v>
      </c>
      <c r="X461" t="str">
        <f>IF(Table1[[#This Row],[Sales]]&gt;=30000,"High Value",IF(Table1[[#This Row],[Sales]]&gt;=15000,"Medium Value","Low Value"))</f>
        <v>High Value</v>
      </c>
      <c r="Y461" t="str">
        <f>IF(Table1[[#This Row],[Quantity]]&gt;=3,"Bulk Order","Regular Order")</f>
        <v>Bulk Order</v>
      </c>
      <c r="Z461" t="str">
        <f>TEXT(Table1[[#This Row],[Order Date]],"dddd")</f>
        <v>Sunday</v>
      </c>
    </row>
    <row r="462" spans="1:26" ht="14.4" x14ac:dyDescent="0.3">
      <c r="A462" t="s">
        <v>1211</v>
      </c>
      <c r="B462" t="s">
        <v>1212</v>
      </c>
      <c r="C462" s="2">
        <v>46185</v>
      </c>
      <c r="D462" t="s">
        <v>42</v>
      </c>
      <c r="E462" t="s">
        <v>78</v>
      </c>
      <c r="F462" t="s">
        <v>386</v>
      </c>
      <c r="G462" t="s">
        <v>31</v>
      </c>
      <c r="H462" t="s">
        <v>32</v>
      </c>
      <c r="I462" t="s">
        <v>58</v>
      </c>
      <c r="J462" t="s">
        <v>59</v>
      </c>
      <c r="K462" t="s">
        <v>60</v>
      </c>
      <c r="L462" t="s">
        <v>61</v>
      </c>
      <c r="M462">
        <v>5</v>
      </c>
      <c r="N462">
        <v>16667</v>
      </c>
      <c r="O462" s="2">
        <v>0</v>
      </c>
      <c r="P462" s="2">
        <v>83335</v>
      </c>
      <c r="Q462" s="2">
        <v>67990.23</v>
      </c>
      <c r="R462" s="2">
        <v>15344.77</v>
      </c>
      <c r="S462" t="s">
        <v>37</v>
      </c>
      <c r="T462">
        <v>5</v>
      </c>
      <c r="U462" t="s">
        <v>51</v>
      </c>
      <c r="V462" t="s">
        <v>63</v>
      </c>
      <c r="W462" s="3">
        <f>Table1[[#This Row],[Profit]]/Table1[[#This Row],[Sales]]</f>
        <v>0.18413355732885342</v>
      </c>
      <c r="X462" t="str">
        <f>IF(Table1[[#This Row],[Sales]]&gt;=30000,"High Value",IF(Table1[[#This Row],[Sales]]&gt;=15000,"Medium Value","Low Value"))</f>
        <v>High Value</v>
      </c>
      <c r="Y462" t="str">
        <f>IF(Table1[[#This Row],[Quantity]]&gt;=3,"Bulk Order","Regular Order")</f>
        <v>Bulk Order</v>
      </c>
      <c r="Z462" t="str">
        <f>TEXT(Table1[[#This Row],[Order Date]],"dddd")</f>
        <v>Friday</v>
      </c>
    </row>
    <row r="463" spans="1:26" ht="14.4" x14ac:dyDescent="0.3">
      <c r="A463" t="s">
        <v>1213</v>
      </c>
      <c r="B463" t="s">
        <v>1214</v>
      </c>
      <c r="C463" s="2">
        <v>46144</v>
      </c>
      <c r="D463" t="s">
        <v>28</v>
      </c>
      <c r="E463" t="s">
        <v>55</v>
      </c>
      <c r="F463" t="s">
        <v>238</v>
      </c>
      <c r="G463" t="s">
        <v>408</v>
      </c>
      <c r="H463" t="s">
        <v>46</v>
      </c>
      <c r="I463" t="s">
        <v>33</v>
      </c>
      <c r="J463" t="s">
        <v>59</v>
      </c>
      <c r="K463" t="s">
        <v>95</v>
      </c>
      <c r="L463" t="s">
        <v>36</v>
      </c>
      <c r="M463">
        <v>1</v>
      </c>
      <c r="N463">
        <v>15537</v>
      </c>
      <c r="O463" s="2">
        <v>10</v>
      </c>
      <c r="P463" s="2">
        <v>13983.3</v>
      </c>
      <c r="Q463" s="2">
        <v>11012.66</v>
      </c>
      <c r="R463" s="2">
        <v>2970.64</v>
      </c>
      <c r="S463" t="s">
        <v>50</v>
      </c>
      <c r="T463">
        <v>5</v>
      </c>
      <c r="U463" t="s">
        <v>51</v>
      </c>
      <c r="V463" t="s">
        <v>52</v>
      </c>
      <c r="W463" s="3">
        <f>Table1[[#This Row],[Profit]]/Table1[[#This Row],[Sales]]</f>
        <v>0.21244198436706643</v>
      </c>
      <c r="X463" t="str">
        <f>IF(Table1[[#This Row],[Sales]]&gt;=30000,"High Value",IF(Table1[[#This Row],[Sales]]&gt;=15000,"Medium Value","Low Value"))</f>
        <v>Low Value</v>
      </c>
      <c r="Y463" t="str">
        <f>IF(Table1[[#This Row],[Quantity]]&gt;=3,"Bulk Order","Regular Order")</f>
        <v>Regular Order</v>
      </c>
      <c r="Z463" t="str">
        <f>TEXT(Table1[[#This Row],[Order Date]],"dddd")</f>
        <v>Saturday</v>
      </c>
    </row>
    <row r="464" spans="1:26" ht="14.4" x14ac:dyDescent="0.3">
      <c r="A464" t="s">
        <v>1215</v>
      </c>
      <c r="B464" t="s">
        <v>1216</v>
      </c>
      <c r="C464" s="2">
        <v>46180</v>
      </c>
      <c r="D464" t="s">
        <v>42</v>
      </c>
      <c r="E464" t="s">
        <v>55</v>
      </c>
      <c r="F464" t="s">
        <v>333</v>
      </c>
      <c r="G464" t="s">
        <v>292</v>
      </c>
      <c r="H464" t="s">
        <v>46</v>
      </c>
      <c r="I464" t="s">
        <v>33</v>
      </c>
      <c r="J464" t="s">
        <v>59</v>
      </c>
      <c r="K464" t="s">
        <v>60</v>
      </c>
      <c r="L464" t="s">
        <v>61</v>
      </c>
      <c r="M464">
        <v>2</v>
      </c>
      <c r="N464">
        <v>15723</v>
      </c>
      <c r="O464" s="2">
        <v>5</v>
      </c>
      <c r="P464" s="2">
        <v>29873.7</v>
      </c>
      <c r="Q464" s="2">
        <v>23827.360000000001</v>
      </c>
      <c r="R464" s="2">
        <v>6046.34</v>
      </c>
      <c r="S464" t="s">
        <v>37</v>
      </c>
      <c r="T464">
        <v>5</v>
      </c>
      <c r="U464" t="s">
        <v>51</v>
      </c>
      <c r="V464" t="s">
        <v>52</v>
      </c>
      <c r="W464" s="3">
        <f>Table1[[#This Row],[Profit]]/Table1[[#This Row],[Sales]]</f>
        <v>0.20239675701369431</v>
      </c>
      <c r="X464" t="str">
        <f>IF(Table1[[#This Row],[Sales]]&gt;=30000,"High Value",IF(Table1[[#This Row],[Sales]]&gt;=15000,"Medium Value","Low Value"))</f>
        <v>Medium Value</v>
      </c>
      <c r="Y464" t="str">
        <f>IF(Table1[[#This Row],[Quantity]]&gt;=3,"Bulk Order","Regular Order")</f>
        <v>Regular Order</v>
      </c>
      <c r="Z464" t="str">
        <f>TEXT(Table1[[#This Row],[Order Date]],"dddd")</f>
        <v>Sunday</v>
      </c>
    </row>
    <row r="465" spans="1:26" ht="14.4" x14ac:dyDescent="0.3">
      <c r="A465" t="s">
        <v>1217</v>
      </c>
      <c r="B465" t="s">
        <v>1218</v>
      </c>
      <c r="C465" s="2">
        <v>46192</v>
      </c>
      <c r="D465" t="s">
        <v>42</v>
      </c>
      <c r="E465" t="s">
        <v>66</v>
      </c>
      <c r="F465" t="s">
        <v>716</v>
      </c>
      <c r="G465" t="s">
        <v>193</v>
      </c>
      <c r="H465" t="s">
        <v>32</v>
      </c>
      <c r="I465" t="s">
        <v>33</v>
      </c>
      <c r="J465" t="s">
        <v>47</v>
      </c>
      <c r="K465" t="s">
        <v>48</v>
      </c>
      <c r="L465" t="s">
        <v>49</v>
      </c>
      <c r="M465">
        <v>1</v>
      </c>
      <c r="N465">
        <v>7698</v>
      </c>
      <c r="O465" s="2">
        <v>5</v>
      </c>
      <c r="P465" s="2">
        <v>7313.1</v>
      </c>
      <c r="Q465" s="2">
        <v>5941.05</v>
      </c>
      <c r="R465" s="2">
        <v>1372.05</v>
      </c>
      <c r="S465" t="s">
        <v>37</v>
      </c>
      <c r="T465">
        <v>4</v>
      </c>
      <c r="U465" t="s">
        <v>51</v>
      </c>
      <c r="V465" t="s">
        <v>39</v>
      </c>
      <c r="W465" s="3">
        <f>Table1[[#This Row],[Profit]]/Table1[[#This Row],[Sales]]</f>
        <v>0.18761537514870574</v>
      </c>
      <c r="X465" t="str">
        <f>IF(Table1[[#This Row],[Sales]]&gt;=30000,"High Value",IF(Table1[[#This Row],[Sales]]&gt;=15000,"Medium Value","Low Value"))</f>
        <v>Low Value</v>
      </c>
      <c r="Y465" t="str">
        <f>IF(Table1[[#This Row],[Quantity]]&gt;=3,"Bulk Order","Regular Order")</f>
        <v>Regular Order</v>
      </c>
      <c r="Z465" t="str">
        <f>TEXT(Table1[[#This Row],[Order Date]],"dddd")</f>
        <v>Friday</v>
      </c>
    </row>
    <row r="466" spans="1:26" ht="14.4" x14ac:dyDescent="0.3">
      <c r="A466" t="s">
        <v>1219</v>
      </c>
      <c r="B466" t="s">
        <v>1220</v>
      </c>
      <c r="C466" s="2">
        <v>46144</v>
      </c>
      <c r="D466" t="s">
        <v>28</v>
      </c>
      <c r="E466" t="s">
        <v>55</v>
      </c>
      <c r="F466" t="s">
        <v>178</v>
      </c>
      <c r="G466" t="s">
        <v>342</v>
      </c>
      <c r="H466" t="s">
        <v>46</v>
      </c>
      <c r="I466" t="s">
        <v>33</v>
      </c>
      <c r="J466" t="s">
        <v>47</v>
      </c>
      <c r="K466" t="s">
        <v>48</v>
      </c>
      <c r="L466" t="s">
        <v>49</v>
      </c>
      <c r="M466">
        <v>1</v>
      </c>
      <c r="N466">
        <v>8983</v>
      </c>
      <c r="O466" s="2">
        <v>0</v>
      </c>
      <c r="P466" s="2">
        <v>8983</v>
      </c>
      <c r="Q466" s="2">
        <v>7189.96</v>
      </c>
      <c r="R466" s="2">
        <v>1793.04</v>
      </c>
      <c r="S466" t="s">
        <v>50</v>
      </c>
      <c r="T466">
        <v>5</v>
      </c>
      <c r="U466" t="s">
        <v>51</v>
      </c>
      <c r="V466" t="s">
        <v>63</v>
      </c>
      <c r="W466" s="3">
        <f>Table1[[#This Row],[Profit]]/Table1[[#This Row],[Sales]]</f>
        <v>0.19960369586997662</v>
      </c>
      <c r="X466" t="str">
        <f>IF(Table1[[#This Row],[Sales]]&gt;=30000,"High Value",IF(Table1[[#This Row],[Sales]]&gt;=15000,"Medium Value","Low Value"))</f>
        <v>Low Value</v>
      </c>
      <c r="Y466" t="str">
        <f>IF(Table1[[#This Row],[Quantity]]&gt;=3,"Bulk Order","Regular Order")</f>
        <v>Regular Order</v>
      </c>
      <c r="Z466" t="str">
        <f>TEXT(Table1[[#This Row],[Order Date]],"dddd")</f>
        <v>Saturday</v>
      </c>
    </row>
    <row r="467" spans="1:26" ht="14.4" x14ac:dyDescent="0.3">
      <c r="A467" t="s">
        <v>1221</v>
      </c>
      <c r="B467" t="s">
        <v>1222</v>
      </c>
      <c r="C467" s="2">
        <v>46152</v>
      </c>
      <c r="D467" t="s">
        <v>28</v>
      </c>
      <c r="E467" t="s">
        <v>66</v>
      </c>
      <c r="F467" t="s">
        <v>798</v>
      </c>
      <c r="G467" t="s">
        <v>141</v>
      </c>
      <c r="H467" t="s">
        <v>46</v>
      </c>
      <c r="I467" t="s">
        <v>58</v>
      </c>
      <c r="J467" t="s">
        <v>59</v>
      </c>
      <c r="K467" t="s">
        <v>60</v>
      </c>
      <c r="L467" t="s">
        <v>61</v>
      </c>
      <c r="M467">
        <v>5</v>
      </c>
      <c r="N467">
        <v>15939</v>
      </c>
      <c r="O467" s="2">
        <v>5</v>
      </c>
      <c r="P467" s="2">
        <v>75710.25</v>
      </c>
      <c r="Q467" s="2">
        <v>59987.519999999997</v>
      </c>
      <c r="R467" s="2">
        <v>15722.73</v>
      </c>
      <c r="S467" t="s">
        <v>81</v>
      </c>
      <c r="T467">
        <v>5</v>
      </c>
      <c r="U467" t="s">
        <v>51</v>
      </c>
      <c r="V467" t="s">
        <v>52</v>
      </c>
      <c r="W467" s="3">
        <f>Table1[[#This Row],[Profit]]/Table1[[#This Row],[Sales]]</f>
        <v>0.20766976730363457</v>
      </c>
      <c r="X467" t="str">
        <f>IF(Table1[[#This Row],[Sales]]&gt;=30000,"High Value",IF(Table1[[#This Row],[Sales]]&gt;=15000,"Medium Value","Low Value"))</f>
        <v>High Value</v>
      </c>
      <c r="Y467" t="str">
        <f>IF(Table1[[#This Row],[Quantity]]&gt;=3,"Bulk Order","Regular Order")</f>
        <v>Bulk Order</v>
      </c>
      <c r="Z467" t="str">
        <f>TEXT(Table1[[#This Row],[Order Date]],"dddd")</f>
        <v>Sunday</v>
      </c>
    </row>
    <row r="468" spans="1:26" ht="14.4" x14ac:dyDescent="0.3">
      <c r="A468" t="s">
        <v>1223</v>
      </c>
      <c r="B468" t="s">
        <v>1224</v>
      </c>
      <c r="C468" s="2">
        <v>46191</v>
      </c>
      <c r="D468" t="s">
        <v>42</v>
      </c>
      <c r="E468" t="s">
        <v>78</v>
      </c>
      <c r="F468" t="s">
        <v>383</v>
      </c>
      <c r="G468" t="s">
        <v>45</v>
      </c>
      <c r="H468" t="s">
        <v>46</v>
      </c>
      <c r="I468" t="s">
        <v>58</v>
      </c>
      <c r="J468" t="s">
        <v>47</v>
      </c>
      <c r="K468" t="s">
        <v>48</v>
      </c>
      <c r="L468" t="s">
        <v>49</v>
      </c>
      <c r="M468">
        <v>3</v>
      </c>
      <c r="N468">
        <v>8505</v>
      </c>
      <c r="O468" s="2">
        <v>5</v>
      </c>
      <c r="P468" s="2">
        <v>24239.25</v>
      </c>
      <c r="Q468" s="2">
        <v>18929.099999999999</v>
      </c>
      <c r="R468" s="2">
        <v>5310.15</v>
      </c>
      <c r="S468" t="s">
        <v>37</v>
      </c>
      <c r="T468">
        <v>4</v>
      </c>
      <c r="U468" t="s">
        <v>51</v>
      </c>
      <c r="V468" t="s">
        <v>75</v>
      </c>
      <c r="W468" s="3">
        <f>Table1[[#This Row],[Profit]]/Table1[[#This Row],[Sales]]</f>
        <v>0.21907237228874654</v>
      </c>
      <c r="X468" t="str">
        <f>IF(Table1[[#This Row],[Sales]]&gt;=30000,"High Value",IF(Table1[[#This Row],[Sales]]&gt;=15000,"Medium Value","Low Value"))</f>
        <v>Medium Value</v>
      </c>
      <c r="Y468" t="str">
        <f>IF(Table1[[#This Row],[Quantity]]&gt;=3,"Bulk Order","Regular Order")</f>
        <v>Bulk Order</v>
      </c>
      <c r="Z468" t="str">
        <f>TEXT(Table1[[#This Row],[Order Date]],"dddd")</f>
        <v>Thursday</v>
      </c>
    </row>
    <row r="469" spans="1:26" ht="14.4" x14ac:dyDescent="0.3">
      <c r="A469" t="s">
        <v>1225</v>
      </c>
      <c r="B469" t="s">
        <v>1226</v>
      </c>
      <c r="C469" s="2">
        <v>46151</v>
      </c>
      <c r="D469" t="s">
        <v>28</v>
      </c>
      <c r="E469" t="s">
        <v>55</v>
      </c>
      <c r="F469" t="s">
        <v>587</v>
      </c>
      <c r="G469" t="s">
        <v>115</v>
      </c>
      <c r="H469" t="s">
        <v>32</v>
      </c>
      <c r="I469" t="s">
        <v>58</v>
      </c>
      <c r="J469" t="s">
        <v>47</v>
      </c>
      <c r="K469" t="s">
        <v>69</v>
      </c>
      <c r="L469" t="s">
        <v>70</v>
      </c>
      <c r="M469">
        <v>4</v>
      </c>
      <c r="N469">
        <v>7839</v>
      </c>
      <c r="O469" s="2">
        <v>15</v>
      </c>
      <c r="P469" s="2">
        <v>26652.6</v>
      </c>
      <c r="Q469" s="2">
        <v>21307.62</v>
      </c>
      <c r="R469" s="2">
        <v>5344.98</v>
      </c>
      <c r="S469" t="s">
        <v>81</v>
      </c>
      <c r="T469">
        <v>4</v>
      </c>
      <c r="U469" t="s">
        <v>51</v>
      </c>
      <c r="V469" t="s">
        <v>86</v>
      </c>
      <c r="W469" s="3">
        <f>Table1[[#This Row],[Profit]]/Table1[[#This Row],[Sales]]</f>
        <v>0.20054253618783907</v>
      </c>
      <c r="X469" t="str">
        <f>IF(Table1[[#This Row],[Sales]]&gt;=30000,"High Value",IF(Table1[[#This Row],[Sales]]&gt;=15000,"Medium Value","Low Value"))</f>
        <v>Medium Value</v>
      </c>
      <c r="Y469" t="str">
        <f>IF(Table1[[#This Row],[Quantity]]&gt;=3,"Bulk Order","Regular Order")</f>
        <v>Bulk Order</v>
      </c>
      <c r="Z469" t="str">
        <f>TEXT(Table1[[#This Row],[Order Date]],"dddd")</f>
        <v>Saturday</v>
      </c>
    </row>
    <row r="470" spans="1:26" ht="14.4" x14ac:dyDescent="0.3">
      <c r="A470" t="s">
        <v>1227</v>
      </c>
      <c r="B470" t="s">
        <v>1228</v>
      </c>
      <c r="C470" s="2">
        <v>46196</v>
      </c>
      <c r="D470" t="s">
        <v>42</v>
      </c>
      <c r="E470" t="s">
        <v>55</v>
      </c>
      <c r="F470" t="s">
        <v>570</v>
      </c>
      <c r="G470" t="s">
        <v>454</v>
      </c>
      <c r="H470" t="s">
        <v>32</v>
      </c>
      <c r="I470" t="s">
        <v>33</v>
      </c>
      <c r="J470" t="s">
        <v>59</v>
      </c>
      <c r="K470" t="s">
        <v>60</v>
      </c>
      <c r="L470" t="s">
        <v>61</v>
      </c>
      <c r="M470">
        <v>2</v>
      </c>
      <c r="N470">
        <v>15533</v>
      </c>
      <c r="O470" s="2">
        <v>15</v>
      </c>
      <c r="P470" s="2">
        <v>26406.1</v>
      </c>
      <c r="Q470" s="2">
        <v>21423.38</v>
      </c>
      <c r="R470" s="2">
        <v>4982.72</v>
      </c>
      <c r="S470" t="s">
        <v>50</v>
      </c>
      <c r="T470">
        <v>5</v>
      </c>
      <c r="U470" t="s">
        <v>90</v>
      </c>
      <c r="V470" t="s">
        <v>39</v>
      </c>
      <c r="W470" s="3">
        <f>Table1[[#This Row],[Profit]]/Table1[[#This Row],[Sales]]</f>
        <v>0.18869579377492324</v>
      </c>
      <c r="X470" t="str">
        <f>IF(Table1[[#This Row],[Sales]]&gt;=30000,"High Value",IF(Table1[[#This Row],[Sales]]&gt;=15000,"Medium Value","Low Value"))</f>
        <v>Medium Value</v>
      </c>
      <c r="Y470" t="str">
        <f>IF(Table1[[#This Row],[Quantity]]&gt;=3,"Bulk Order","Regular Order")</f>
        <v>Regular Order</v>
      </c>
      <c r="Z470" t="str">
        <f>TEXT(Table1[[#This Row],[Order Date]],"dddd")</f>
        <v>Tuesday</v>
      </c>
    </row>
    <row r="471" spans="1:26" ht="14.4" x14ac:dyDescent="0.3">
      <c r="A471" t="s">
        <v>1229</v>
      </c>
      <c r="B471" t="s">
        <v>1230</v>
      </c>
      <c r="C471" s="2">
        <v>46184</v>
      </c>
      <c r="D471" t="s">
        <v>42</v>
      </c>
      <c r="E471" t="s">
        <v>78</v>
      </c>
      <c r="F471" t="s">
        <v>506</v>
      </c>
      <c r="G471" t="s">
        <v>218</v>
      </c>
      <c r="H471" t="s">
        <v>46</v>
      </c>
      <c r="I471" t="s">
        <v>33</v>
      </c>
      <c r="J471" t="s">
        <v>59</v>
      </c>
      <c r="K471" t="s">
        <v>60</v>
      </c>
      <c r="L471" t="s">
        <v>61</v>
      </c>
      <c r="M471">
        <v>1</v>
      </c>
      <c r="N471">
        <v>16120</v>
      </c>
      <c r="O471" s="2">
        <v>5</v>
      </c>
      <c r="P471" s="2">
        <v>15314</v>
      </c>
      <c r="Q471" s="2">
        <v>12333.85</v>
      </c>
      <c r="R471" s="2">
        <v>2980.15</v>
      </c>
      <c r="S471" t="s">
        <v>37</v>
      </c>
      <c r="T471">
        <v>4</v>
      </c>
      <c r="U471" t="s">
        <v>51</v>
      </c>
      <c r="V471" t="s">
        <v>116</v>
      </c>
      <c r="W471" s="3">
        <f>Table1[[#This Row],[Profit]]/Table1[[#This Row],[Sales]]</f>
        <v>0.19460297766749379</v>
      </c>
      <c r="X471" t="str">
        <f>IF(Table1[[#This Row],[Sales]]&gt;=30000,"High Value",IF(Table1[[#This Row],[Sales]]&gt;=15000,"Medium Value","Low Value"))</f>
        <v>Medium Value</v>
      </c>
      <c r="Y471" t="str">
        <f>IF(Table1[[#This Row],[Quantity]]&gt;=3,"Bulk Order","Regular Order")</f>
        <v>Regular Order</v>
      </c>
      <c r="Z471" t="str">
        <f>TEXT(Table1[[#This Row],[Order Date]],"dddd")</f>
        <v>Thursday</v>
      </c>
    </row>
    <row r="472" spans="1:26" ht="14.4" x14ac:dyDescent="0.3">
      <c r="A472" t="s">
        <v>1231</v>
      </c>
      <c r="B472" t="s">
        <v>1232</v>
      </c>
      <c r="C472" s="2">
        <v>46163</v>
      </c>
      <c r="D472" t="s">
        <v>28</v>
      </c>
      <c r="E472" t="s">
        <v>133</v>
      </c>
      <c r="F472" t="s">
        <v>144</v>
      </c>
      <c r="G472" t="s">
        <v>412</v>
      </c>
      <c r="H472" t="s">
        <v>46</v>
      </c>
      <c r="I472" t="s">
        <v>33</v>
      </c>
      <c r="J472" t="s">
        <v>59</v>
      </c>
      <c r="K472" t="s">
        <v>60</v>
      </c>
      <c r="L472" t="s">
        <v>61</v>
      </c>
      <c r="M472">
        <v>1</v>
      </c>
      <c r="N472">
        <v>17213</v>
      </c>
      <c r="O472" s="2">
        <v>10</v>
      </c>
      <c r="P472" s="2">
        <v>15491.7</v>
      </c>
      <c r="Q472" s="2">
        <v>12336.19</v>
      </c>
      <c r="R472" s="2">
        <v>3155.51</v>
      </c>
      <c r="S472" t="s">
        <v>50</v>
      </c>
      <c r="T472">
        <v>4</v>
      </c>
      <c r="U472" t="s">
        <v>38</v>
      </c>
      <c r="V472" t="s">
        <v>39</v>
      </c>
      <c r="W472" s="3">
        <f>Table1[[#This Row],[Profit]]/Table1[[#This Row],[Sales]]</f>
        <v>0.20369036322676015</v>
      </c>
      <c r="X472" t="str">
        <f>IF(Table1[[#This Row],[Sales]]&gt;=30000,"High Value",IF(Table1[[#This Row],[Sales]]&gt;=15000,"Medium Value","Low Value"))</f>
        <v>Medium Value</v>
      </c>
      <c r="Y472" t="str">
        <f>IF(Table1[[#This Row],[Quantity]]&gt;=3,"Bulk Order","Regular Order")</f>
        <v>Regular Order</v>
      </c>
      <c r="Z472" t="str">
        <f>TEXT(Table1[[#This Row],[Order Date]],"dddd")</f>
        <v>Thursday</v>
      </c>
    </row>
    <row r="473" spans="1:26" ht="14.4" x14ac:dyDescent="0.3">
      <c r="A473" t="s">
        <v>1233</v>
      </c>
      <c r="B473" t="s">
        <v>1234</v>
      </c>
      <c r="C473" s="2">
        <v>46174</v>
      </c>
      <c r="D473" t="s">
        <v>42</v>
      </c>
      <c r="E473" t="s">
        <v>29</v>
      </c>
      <c r="F473" t="s">
        <v>1235</v>
      </c>
      <c r="G473" t="s">
        <v>57</v>
      </c>
      <c r="H473" t="s">
        <v>46</v>
      </c>
      <c r="I473" t="s">
        <v>33</v>
      </c>
      <c r="J473" t="s">
        <v>149</v>
      </c>
      <c r="K473" t="s">
        <v>150</v>
      </c>
      <c r="L473" t="s">
        <v>151</v>
      </c>
      <c r="M473">
        <v>1</v>
      </c>
      <c r="N473">
        <v>3703</v>
      </c>
      <c r="O473" s="2">
        <v>0</v>
      </c>
      <c r="P473" s="2">
        <v>3703</v>
      </c>
      <c r="Q473" s="2">
        <v>2623.99</v>
      </c>
      <c r="R473" s="2">
        <v>1079.01</v>
      </c>
      <c r="S473" t="s">
        <v>50</v>
      </c>
      <c r="T473">
        <v>5</v>
      </c>
      <c r="U473" t="s">
        <v>90</v>
      </c>
      <c r="V473" t="s">
        <v>75</v>
      </c>
      <c r="W473" s="3">
        <f>Table1[[#This Row],[Profit]]/Table1[[#This Row],[Sales]]</f>
        <v>0.29138806373210913</v>
      </c>
      <c r="X473" t="str">
        <f>IF(Table1[[#This Row],[Sales]]&gt;=30000,"High Value",IF(Table1[[#This Row],[Sales]]&gt;=15000,"Medium Value","Low Value"))</f>
        <v>Low Value</v>
      </c>
      <c r="Y473" t="str">
        <f>IF(Table1[[#This Row],[Quantity]]&gt;=3,"Bulk Order","Regular Order")</f>
        <v>Regular Order</v>
      </c>
      <c r="Z473" t="str">
        <f>TEXT(Table1[[#This Row],[Order Date]],"dddd")</f>
        <v>Monday</v>
      </c>
    </row>
    <row r="474" spans="1:26" ht="14.4" x14ac:dyDescent="0.3">
      <c r="A474" t="s">
        <v>1236</v>
      </c>
      <c r="B474" t="s">
        <v>1237</v>
      </c>
      <c r="C474" s="2">
        <v>46203</v>
      </c>
      <c r="D474" t="s">
        <v>42</v>
      </c>
      <c r="E474" t="s">
        <v>196</v>
      </c>
      <c r="F474" t="s">
        <v>900</v>
      </c>
      <c r="G474" t="s">
        <v>124</v>
      </c>
      <c r="H474" t="s">
        <v>46</v>
      </c>
      <c r="I474" t="s">
        <v>58</v>
      </c>
      <c r="J474" t="s">
        <v>47</v>
      </c>
      <c r="K474" t="s">
        <v>48</v>
      </c>
      <c r="L474" t="s">
        <v>49</v>
      </c>
      <c r="M474">
        <v>5</v>
      </c>
      <c r="N474">
        <v>8001</v>
      </c>
      <c r="O474" s="2">
        <v>10</v>
      </c>
      <c r="P474" s="2">
        <v>36004.5</v>
      </c>
      <c r="Q474" s="2">
        <v>28871.71</v>
      </c>
      <c r="R474" s="2">
        <v>7132.79</v>
      </c>
      <c r="S474" t="s">
        <v>37</v>
      </c>
      <c r="T474">
        <v>4</v>
      </c>
      <c r="U474" t="s">
        <v>51</v>
      </c>
      <c r="V474" t="s">
        <v>63</v>
      </c>
      <c r="W474" s="3">
        <f>Table1[[#This Row],[Profit]]/Table1[[#This Row],[Sales]]</f>
        <v>0.19810829201905317</v>
      </c>
      <c r="X474" t="str">
        <f>IF(Table1[[#This Row],[Sales]]&gt;=30000,"High Value",IF(Table1[[#This Row],[Sales]]&gt;=15000,"Medium Value","Low Value"))</f>
        <v>High Value</v>
      </c>
      <c r="Y474" t="str">
        <f>IF(Table1[[#This Row],[Quantity]]&gt;=3,"Bulk Order","Regular Order")</f>
        <v>Bulk Order</v>
      </c>
      <c r="Z474" t="str">
        <f>TEXT(Table1[[#This Row],[Order Date]],"dddd")</f>
        <v>Tuesday</v>
      </c>
    </row>
    <row r="475" spans="1:26" ht="14.4" x14ac:dyDescent="0.3">
      <c r="A475" t="s">
        <v>1238</v>
      </c>
      <c r="B475" t="s">
        <v>1239</v>
      </c>
      <c r="C475" s="2">
        <v>46180</v>
      </c>
      <c r="D475" t="s">
        <v>42</v>
      </c>
      <c r="E475" t="s">
        <v>43</v>
      </c>
      <c r="F475" t="s">
        <v>358</v>
      </c>
      <c r="G475" t="s">
        <v>375</v>
      </c>
      <c r="H475" t="s">
        <v>32</v>
      </c>
      <c r="I475" t="s">
        <v>58</v>
      </c>
      <c r="J475" t="s">
        <v>47</v>
      </c>
      <c r="K475" t="s">
        <v>48</v>
      </c>
      <c r="L475" t="s">
        <v>49</v>
      </c>
      <c r="M475">
        <v>5</v>
      </c>
      <c r="N475">
        <v>8209</v>
      </c>
      <c r="O475" s="2">
        <v>0</v>
      </c>
      <c r="P475" s="2">
        <v>41045</v>
      </c>
      <c r="Q475" s="2">
        <v>32959.629999999997</v>
      </c>
      <c r="R475" s="2">
        <v>8085.37</v>
      </c>
      <c r="S475" t="s">
        <v>81</v>
      </c>
      <c r="T475">
        <v>5</v>
      </c>
      <c r="U475" t="s">
        <v>51</v>
      </c>
      <c r="V475" t="s">
        <v>86</v>
      </c>
      <c r="W475" s="3">
        <f>Table1[[#This Row],[Profit]]/Table1[[#This Row],[Sales]]</f>
        <v>0.19698794006578146</v>
      </c>
      <c r="X475" t="str">
        <f>IF(Table1[[#This Row],[Sales]]&gt;=30000,"High Value",IF(Table1[[#This Row],[Sales]]&gt;=15000,"Medium Value","Low Value"))</f>
        <v>High Value</v>
      </c>
      <c r="Y475" t="str">
        <f>IF(Table1[[#This Row],[Quantity]]&gt;=3,"Bulk Order","Regular Order")</f>
        <v>Bulk Order</v>
      </c>
      <c r="Z475" t="str">
        <f>TEXT(Table1[[#This Row],[Order Date]],"dddd")</f>
        <v>Sunday</v>
      </c>
    </row>
    <row r="476" spans="1:26" ht="14.4" x14ac:dyDescent="0.3">
      <c r="A476" t="s">
        <v>1240</v>
      </c>
      <c r="B476" t="s">
        <v>1241</v>
      </c>
      <c r="C476" s="2">
        <v>46199</v>
      </c>
      <c r="D476" t="s">
        <v>42</v>
      </c>
      <c r="E476" t="s">
        <v>66</v>
      </c>
      <c r="F476" t="s">
        <v>207</v>
      </c>
      <c r="G476" t="s">
        <v>389</v>
      </c>
      <c r="H476" t="s">
        <v>46</v>
      </c>
      <c r="I476" t="s">
        <v>33</v>
      </c>
      <c r="J476" t="s">
        <v>47</v>
      </c>
      <c r="K476" t="s">
        <v>48</v>
      </c>
      <c r="L476" t="s">
        <v>49</v>
      </c>
      <c r="M476">
        <v>2</v>
      </c>
      <c r="N476">
        <v>8071</v>
      </c>
      <c r="O476" s="2">
        <v>5</v>
      </c>
      <c r="P476" s="2">
        <v>15334.9</v>
      </c>
      <c r="Q476" s="2">
        <v>12191.95</v>
      </c>
      <c r="R476" s="2">
        <v>3142.95</v>
      </c>
      <c r="S476" t="s">
        <v>62</v>
      </c>
      <c r="T476">
        <v>4</v>
      </c>
      <c r="U476" t="s">
        <v>38</v>
      </c>
      <c r="V476" t="s">
        <v>116</v>
      </c>
      <c r="W476" s="3">
        <f>Table1[[#This Row],[Profit]]/Table1[[#This Row],[Sales]]</f>
        <v>0.20495405904179356</v>
      </c>
      <c r="X476" t="str">
        <f>IF(Table1[[#This Row],[Sales]]&gt;=30000,"High Value",IF(Table1[[#This Row],[Sales]]&gt;=15000,"Medium Value","Low Value"))</f>
        <v>Medium Value</v>
      </c>
      <c r="Y476" t="str">
        <f>IF(Table1[[#This Row],[Quantity]]&gt;=3,"Bulk Order","Regular Order")</f>
        <v>Regular Order</v>
      </c>
      <c r="Z476" t="str">
        <f>TEXT(Table1[[#This Row],[Order Date]],"dddd")</f>
        <v>Friday</v>
      </c>
    </row>
    <row r="477" spans="1:26" ht="14.4" x14ac:dyDescent="0.3">
      <c r="A477" t="s">
        <v>1242</v>
      </c>
      <c r="B477" t="s">
        <v>1243</v>
      </c>
      <c r="C477" s="2">
        <v>46149</v>
      </c>
      <c r="D477" t="s">
        <v>28</v>
      </c>
      <c r="E477" t="s">
        <v>43</v>
      </c>
      <c r="F477" t="s">
        <v>477</v>
      </c>
      <c r="G477" t="s">
        <v>108</v>
      </c>
      <c r="H477" t="s">
        <v>32</v>
      </c>
      <c r="I477" t="s">
        <v>33</v>
      </c>
      <c r="J477" t="s">
        <v>149</v>
      </c>
      <c r="K477" t="s">
        <v>150</v>
      </c>
      <c r="L477" t="s">
        <v>151</v>
      </c>
      <c r="M477">
        <v>1</v>
      </c>
      <c r="N477">
        <v>2806</v>
      </c>
      <c r="O477" s="2">
        <v>10</v>
      </c>
      <c r="P477" s="2">
        <v>2525.4</v>
      </c>
      <c r="Q477" s="2">
        <v>1853.2</v>
      </c>
      <c r="R477" s="2">
        <v>672.2</v>
      </c>
      <c r="S477" t="s">
        <v>37</v>
      </c>
      <c r="T477">
        <v>3</v>
      </c>
      <c r="U477" t="s">
        <v>51</v>
      </c>
      <c r="V477" t="s">
        <v>116</v>
      </c>
      <c r="W477" s="3">
        <f>Table1[[#This Row],[Profit]]/Table1[[#This Row],[Sales]]</f>
        <v>0.26617565534172805</v>
      </c>
      <c r="X477" t="str">
        <f>IF(Table1[[#This Row],[Sales]]&gt;=30000,"High Value",IF(Table1[[#This Row],[Sales]]&gt;=15000,"Medium Value","Low Value"))</f>
        <v>Low Value</v>
      </c>
      <c r="Y477" t="str">
        <f>IF(Table1[[#This Row],[Quantity]]&gt;=3,"Bulk Order","Regular Order")</f>
        <v>Regular Order</v>
      </c>
      <c r="Z477" t="str">
        <f>TEXT(Table1[[#This Row],[Order Date]],"dddd")</f>
        <v>Thursday</v>
      </c>
    </row>
    <row r="478" spans="1:26" ht="14.4" x14ac:dyDescent="0.3">
      <c r="A478" t="s">
        <v>1244</v>
      </c>
      <c r="B478" t="s">
        <v>1245</v>
      </c>
      <c r="C478" s="2">
        <v>46144</v>
      </c>
      <c r="D478" t="s">
        <v>28</v>
      </c>
      <c r="E478" t="s">
        <v>66</v>
      </c>
      <c r="F478" t="s">
        <v>1011</v>
      </c>
      <c r="G478" t="s">
        <v>148</v>
      </c>
      <c r="H478" t="s">
        <v>32</v>
      </c>
      <c r="I478" t="s">
        <v>58</v>
      </c>
      <c r="J478" t="s">
        <v>59</v>
      </c>
      <c r="K478" t="s">
        <v>95</v>
      </c>
      <c r="L478" t="s">
        <v>36</v>
      </c>
      <c r="M478">
        <v>3</v>
      </c>
      <c r="N478">
        <v>16847</v>
      </c>
      <c r="O478" s="2">
        <v>0</v>
      </c>
      <c r="P478" s="2">
        <v>50541</v>
      </c>
      <c r="Q478" s="2">
        <v>40808.620000000003</v>
      </c>
      <c r="R478" s="2">
        <v>9732.3799999999992</v>
      </c>
      <c r="S478" t="s">
        <v>62</v>
      </c>
      <c r="T478">
        <v>5</v>
      </c>
      <c r="U478" t="s">
        <v>51</v>
      </c>
      <c r="V478" t="s">
        <v>52</v>
      </c>
      <c r="W478" s="3">
        <f>Table1[[#This Row],[Profit]]/Table1[[#This Row],[Sales]]</f>
        <v>0.19256405690429551</v>
      </c>
      <c r="X478" t="str">
        <f>IF(Table1[[#This Row],[Sales]]&gt;=30000,"High Value",IF(Table1[[#This Row],[Sales]]&gt;=15000,"Medium Value","Low Value"))</f>
        <v>High Value</v>
      </c>
      <c r="Y478" t="str">
        <f>IF(Table1[[#This Row],[Quantity]]&gt;=3,"Bulk Order","Regular Order")</f>
        <v>Bulk Order</v>
      </c>
      <c r="Z478" t="str">
        <f>TEXT(Table1[[#This Row],[Order Date]],"dddd")</f>
        <v>Saturday</v>
      </c>
    </row>
    <row r="479" spans="1:26" ht="14.4" x14ac:dyDescent="0.3">
      <c r="A479" t="s">
        <v>1246</v>
      </c>
      <c r="B479" t="s">
        <v>1247</v>
      </c>
      <c r="C479" s="2">
        <v>46186</v>
      </c>
      <c r="D479" t="s">
        <v>42</v>
      </c>
      <c r="E479" t="s">
        <v>133</v>
      </c>
      <c r="F479" t="s">
        <v>547</v>
      </c>
      <c r="G479" t="s">
        <v>218</v>
      </c>
      <c r="H479" t="s">
        <v>46</v>
      </c>
      <c r="I479" t="s">
        <v>58</v>
      </c>
      <c r="J479" t="s">
        <v>169</v>
      </c>
      <c r="K479" t="s">
        <v>170</v>
      </c>
      <c r="L479" t="s">
        <v>171</v>
      </c>
      <c r="M479">
        <v>3</v>
      </c>
      <c r="N479">
        <v>10522</v>
      </c>
      <c r="O479" s="2">
        <v>5</v>
      </c>
      <c r="P479" s="2">
        <v>29987.7</v>
      </c>
      <c r="Q479" s="2">
        <v>24149.06</v>
      </c>
      <c r="R479" s="2">
        <v>5838.64</v>
      </c>
      <c r="S479" t="s">
        <v>37</v>
      </c>
      <c r="T479">
        <v>4</v>
      </c>
      <c r="U479" t="s">
        <v>51</v>
      </c>
      <c r="V479" t="s">
        <v>86</v>
      </c>
      <c r="W479" s="3">
        <f>Table1[[#This Row],[Profit]]/Table1[[#This Row],[Sales]]</f>
        <v>0.19470116080926514</v>
      </c>
      <c r="X479" t="str">
        <f>IF(Table1[[#This Row],[Sales]]&gt;=30000,"High Value",IF(Table1[[#This Row],[Sales]]&gt;=15000,"Medium Value","Low Value"))</f>
        <v>Medium Value</v>
      </c>
      <c r="Y479" t="str">
        <f>IF(Table1[[#This Row],[Quantity]]&gt;=3,"Bulk Order","Regular Order")</f>
        <v>Bulk Order</v>
      </c>
      <c r="Z479" t="str">
        <f>TEXT(Table1[[#This Row],[Order Date]],"dddd")</f>
        <v>Saturday</v>
      </c>
    </row>
    <row r="480" spans="1:26" ht="14.4" x14ac:dyDescent="0.3">
      <c r="A480" t="s">
        <v>1248</v>
      </c>
      <c r="B480" t="s">
        <v>1249</v>
      </c>
      <c r="C480" s="2">
        <v>46151</v>
      </c>
      <c r="D480" t="s">
        <v>28</v>
      </c>
      <c r="E480" t="s">
        <v>102</v>
      </c>
      <c r="F480" t="s">
        <v>512</v>
      </c>
      <c r="G480" t="s">
        <v>104</v>
      </c>
      <c r="H480" t="s">
        <v>32</v>
      </c>
      <c r="I480" t="s">
        <v>58</v>
      </c>
      <c r="J480" t="s">
        <v>47</v>
      </c>
      <c r="K480" t="s">
        <v>69</v>
      </c>
      <c r="L480" t="s">
        <v>70</v>
      </c>
      <c r="M480">
        <v>3</v>
      </c>
      <c r="N480">
        <v>9011</v>
      </c>
      <c r="O480" s="2">
        <v>5</v>
      </c>
      <c r="P480" s="2">
        <v>25681.35</v>
      </c>
      <c r="Q480" s="2">
        <v>20994.26</v>
      </c>
      <c r="R480" s="2">
        <v>4687.09</v>
      </c>
      <c r="S480" t="s">
        <v>37</v>
      </c>
      <c r="T480">
        <v>5</v>
      </c>
      <c r="U480" t="s">
        <v>51</v>
      </c>
      <c r="V480" t="s">
        <v>39</v>
      </c>
      <c r="W480" s="3">
        <f>Table1[[#This Row],[Profit]]/Table1[[#This Row],[Sales]]</f>
        <v>0.1825094864561248</v>
      </c>
      <c r="X480" t="str">
        <f>IF(Table1[[#This Row],[Sales]]&gt;=30000,"High Value",IF(Table1[[#This Row],[Sales]]&gt;=15000,"Medium Value","Low Value"))</f>
        <v>Medium Value</v>
      </c>
      <c r="Y480" t="str">
        <f>IF(Table1[[#This Row],[Quantity]]&gt;=3,"Bulk Order","Regular Order")</f>
        <v>Bulk Order</v>
      </c>
      <c r="Z480" t="str">
        <f>TEXT(Table1[[#This Row],[Order Date]],"dddd")</f>
        <v>Saturday</v>
      </c>
    </row>
    <row r="481" spans="1:26" ht="14.4" x14ac:dyDescent="0.3">
      <c r="A481" t="s">
        <v>1250</v>
      </c>
      <c r="B481" t="s">
        <v>1251</v>
      </c>
      <c r="C481" s="2">
        <v>46181</v>
      </c>
      <c r="D481" t="s">
        <v>42</v>
      </c>
      <c r="E481" t="s">
        <v>66</v>
      </c>
      <c r="F481" t="s">
        <v>762</v>
      </c>
      <c r="G481" t="s">
        <v>412</v>
      </c>
      <c r="H481" t="s">
        <v>46</v>
      </c>
      <c r="I481" t="s">
        <v>33</v>
      </c>
      <c r="J481" t="s">
        <v>47</v>
      </c>
      <c r="K481" t="s">
        <v>48</v>
      </c>
      <c r="L481" t="s">
        <v>49</v>
      </c>
      <c r="M481">
        <v>2</v>
      </c>
      <c r="N481">
        <v>7549</v>
      </c>
      <c r="O481" s="2">
        <v>0</v>
      </c>
      <c r="P481" s="2">
        <v>15098</v>
      </c>
      <c r="Q481" s="2">
        <v>12300.85</v>
      </c>
      <c r="R481" s="2">
        <v>2797.15</v>
      </c>
      <c r="S481" t="s">
        <v>37</v>
      </c>
      <c r="T481">
        <v>3</v>
      </c>
      <c r="U481" t="s">
        <v>38</v>
      </c>
      <c r="V481" t="s">
        <v>39</v>
      </c>
      <c r="W481" s="3">
        <f>Table1[[#This Row],[Profit]]/Table1[[#This Row],[Sales]]</f>
        <v>0.18526626043184527</v>
      </c>
      <c r="X481" t="str">
        <f>IF(Table1[[#This Row],[Sales]]&gt;=30000,"High Value",IF(Table1[[#This Row],[Sales]]&gt;=15000,"Medium Value","Low Value"))</f>
        <v>Medium Value</v>
      </c>
      <c r="Y481" t="str">
        <f>IF(Table1[[#This Row],[Quantity]]&gt;=3,"Bulk Order","Regular Order")</f>
        <v>Regular Order</v>
      </c>
      <c r="Z481" t="str">
        <f>TEXT(Table1[[#This Row],[Order Date]],"dddd")</f>
        <v>Monday</v>
      </c>
    </row>
    <row r="482" spans="1:26" ht="14.4" x14ac:dyDescent="0.3">
      <c r="A482" t="s">
        <v>1252</v>
      </c>
      <c r="B482" t="s">
        <v>1253</v>
      </c>
      <c r="C482" s="2">
        <v>46202</v>
      </c>
      <c r="D482" t="s">
        <v>42</v>
      </c>
      <c r="E482" t="s">
        <v>43</v>
      </c>
      <c r="F482" t="s">
        <v>1254</v>
      </c>
      <c r="G482" t="s">
        <v>74</v>
      </c>
      <c r="H482" t="s">
        <v>46</v>
      </c>
      <c r="I482" t="s">
        <v>58</v>
      </c>
      <c r="J482" t="s">
        <v>169</v>
      </c>
      <c r="K482" t="s">
        <v>170</v>
      </c>
      <c r="L482" t="s">
        <v>171</v>
      </c>
      <c r="M482">
        <v>4</v>
      </c>
      <c r="N482">
        <v>11121</v>
      </c>
      <c r="O482" s="2">
        <v>10</v>
      </c>
      <c r="P482" s="2">
        <v>40035.599999999999</v>
      </c>
      <c r="Q482" s="2">
        <v>31906.44</v>
      </c>
      <c r="R482" s="2">
        <v>8129.16</v>
      </c>
      <c r="S482" t="s">
        <v>81</v>
      </c>
      <c r="T482">
        <v>4</v>
      </c>
      <c r="U482" t="s">
        <v>51</v>
      </c>
      <c r="V482" t="s">
        <v>52</v>
      </c>
      <c r="W482" s="3">
        <f>Table1[[#This Row],[Profit]]/Table1[[#This Row],[Sales]]</f>
        <v>0.20304828702454816</v>
      </c>
      <c r="X482" t="str">
        <f>IF(Table1[[#This Row],[Sales]]&gt;=30000,"High Value",IF(Table1[[#This Row],[Sales]]&gt;=15000,"Medium Value","Low Value"))</f>
        <v>High Value</v>
      </c>
      <c r="Y482" t="str">
        <f>IF(Table1[[#This Row],[Quantity]]&gt;=3,"Bulk Order","Regular Order")</f>
        <v>Bulk Order</v>
      </c>
      <c r="Z482" t="str">
        <f>TEXT(Table1[[#This Row],[Order Date]],"dddd")</f>
        <v>Monday</v>
      </c>
    </row>
    <row r="483" spans="1:26" ht="14.4" x14ac:dyDescent="0.3">
      <c r="A483" t="s">
        <v>1255</v>
      </c>
      <c r="B483" t="s">
        <v>1256</v>
      </c>
      <c r="C483" s="2">
        <v>46199</v>
      </c>
      <c r="D483" t="s">
        <v>42</v>
      </c>
      <c r="E483" t="s">
        <v>78</v>
      </c>
      <c r="F483" t="s">
        <v>160</v>
      </c>
      <c r="G483" t="s">
        <v>204</v>
      </c>
      <c r="H483" t="s">
        <v>46</v>
      </c>
      <c r="I483" t="s">
        <v>33</v>
      </c>
      <c r="J483" t="s">
        <v>59</v>
      </c>
      <c r="K483" t="s">
        <v>95</v>
      </c>
      <c r="L483" t="s">
        <v>36</v>
      </c>
      <c r="M483">
        <v>2</v>
      </c>
      <c r="N483">
        <v>14550</v>
      </c>
      <c r="O483" s="2">
        <v>5</v>
      </c>
      <c r="P483" s="2">
        <v>27645</v>
      </c>
      <c r="Q483" s="2">
        <v>22462.97</v>
      </c>
      <c r="R483" s="2">
        <v>5182.03</v>
      </c>
      <c r="S483" t="s">
        <v>50</v>
      </c>
      <c r="T483">
        <v>5</v>
      </c>
      <c r="U483" t="s">
        <v>90</v>
      </c>
      <c r="V483" t="s">
        <v>75</v>
      </c>
      <c r="W483" s="3">
        <f>Table1[[#This Row],[Profit]]/Table1[[#This Row],[Sales]]</f>
        <v>0.18744908663411103</v>
      </c>
      <c r="X483" t="str">
        <f>IF(Table1[[#This Row],[Sales]]&gt;=30000,"High Value",IF(Table1[[#This Row],[Sales]]&gt;=15000,"Medium Value","Low Value"))</f>
        <v>Medium Value</v>
      </c>
      <c r="Y483" t="str">
        <f>IF(Table1[[#This Row],[Quantity]]&gt;=3,"Bulk Order","Regular Order")</f>
        <v>Regular Order</v>
      </c>
      <c r="Z483" t="str">
        <f>TEXT(Table1[[#This Row],[Order Date]],"dddd")</f>
        <v>Friday</v>
      </c>
    </row>
    <row r="484" spans="1:26" ht="14.4" x14ac:dyDescent="0.3">
      <c r="A484" t="s">
        <v>1257</v>
      </c>
      <c r="B484" t="s">
        <v>1258</v>
      </c>
      <c r="C484" s="2">
        <v>46200</v>
      </c>
      <c r="D484" t="s">
        <v>42</v>
      </c>
      <c r="E484" t="s">
        <v>102</v>
      </c>
      <c r="F484" t="s">
        <v>674</v>
      </c>
      <c r="G484" t="s">
        <v>342</v>
      </c>
      <c r="H484" t="s">
        <v>46</v>
      </c>
      <c r="I484" t="s">
        <v>33</v>
      </c>
      <c r="J484" t="s">
        <v>149</v>
      </c>
      <c r="K484" t="s">
        <v>150</v>
      </c>
      <c r="L484" t="s">
        <v>151</v>
      </c>
      <c r="M484">
        <v>2</v>
      </c>
      <c r="N484">
        <v>3769</v>
      </c>
      <c r="O484" s="2">
        <v>5</v>
      </c>
      <c r="P484" s="2">
        <v>7161.1</v>
      </c>
      <c r="Q484" s="2">
        <v>5028.7299999999996</v>
      </c>
      <c r="R484" s="2">
        <v>2132.37</v>
      </c>
      <c r="S484" t="s">
        <v>50</v>
      </c>
      <c r="T484">
        <v>5</v>
      </c>
      <c r="U484" t="s">
        <v>51</v>
      </c>
      <c r="V484" t="s">
        <v>75</v>
      </c>
      <c r="W484" s="3">
        <f>Table1[[#This Row],[Profit]]/Table1[[#This Row],[Sales]]</f>
        <v>0.2977712921199257</v>
      </c>
      <c r="X484" t="str">
        <f>IF(Table1[[#This Row],[Sales]]&gt;=30000,"High Value",IF(Table1[[#This Row],[Sales]]&gt;=15000,"Medium Value","Low Value"))</f>
        <v>Low Value</v>
      </c>
      <c r="Y484" t="str">
        <f>IF(Table1[[#This Row],[Quantity]]&gt;=3,"Bulk Order","Regular Order")</f>
        <v>Regular Order</v>
      </c>
      <c r="Z484" t="str">
        <f>TEXT(Table1[[#This Row],[Order Date]],"dddd")</f>
        <v>Saturday</v>
      </c>
    </row>
    <row r="485" spans="1:26" ht="14.4" x14ac:dyDescent="0.3">
      <c r="A485" t="s">
        <v>1259</v>
      </c>
      <c r="B485" t="s">
        <v>1260</v>
      </c>
      <c r="C485" s="2">
        <v>46194</v>
      </c>
      <c r="D485" t="s">
        <v>42</v>
      </c>
      <c r="E485" t="s">
        <v>55</v>
      </c>
      <c r="F485" t="s">
        <v>754</v>
      </c>
      <c r="G485" t="s">
        <v>454</v>
      </c>
      <c r="H485" t="s">
        <v>32</v>
      </c>
      <c r="I485" t="s">
        <v>58</v>
      </c>
      <c r="J485" t="s">
        <v>47</v>
      </c>
      <c r="K485" t="s">
        <v>69</v>
      </c>
      <c r="L485" t="s">
        <v>70</v>
      </c>
      <c r="M485">
        <v>3</v>
      </c>
      <c r="N485">
        <v>9433</v>
      </c>
      <c r="O485" s="2">
        <v>15</v>
      </c>
      <c r="P485" s="2">
        <v>24054.15</v>
      </c>
      <c r="Q485" s="2">
        <v>18954.580000000002</v>
      </c>
      <c r="R485" s="2">
        <v>5099.57</v>
      </c>
      <c r="S485" t="s">
        <v>37</v>
      </c>
      <c r="T485">
        <v>5</v>
      </c>
      <c r="U485" t="s">
        <v>51</v>
      </c>
      <c r="V485" t="s">
        <v>63</v>
      </c>
      <c r="W485" s="3">
        <f>Table1[[#This Row],[Profit]]/Table1[[#This Row],[Sales]]</f>
        <v>0.21200374987268306</v>
      </c>
      <c r="X485" t="str">
        <f>IF(Table1[[#This Row],[Sales]]&gt;=30000,"High Value",IF(Table1[[#This Row],[Sales]]&gt;=15000,"Medium Value","Low Value"))</f>
        <v>Medium Value</v>
      </c>
      <c r="Y485" t="str">
        <f>IF(Table1[[#This Row],[Quantity]]&gt;=3,"Bulk Order","Regular Order")</f>
        <v>Bulk Order</v>
      </c>
      <c r="Z485" t="str">
        <f>TEXT(Table1[[#This Row],[Order Date]],"dddd")</f>
        <v>Sunday</v>
      </c>
    </row>
    <row r="486" spans="1:26" ht="14.4" x14ac:dyDescent="0.3">
      <c r="A486" t="s">
        <v>1261</v>
      </c>
      <c r="B486" t="s">
        <v>1262</v>
      </c>
      <c r="C486" s="2">
        <v>46195</v>
      </c>
      <c r="D486" t="s">
        <v>42</v>
      </c>
      <c r="E486" t="s">
        <v>43</v>
      </c>
      <c r="F486" t="s">
        <v>217</v>
      </c>
      <c r="G486" t="s">
        <v>168</v>
      </c>
      <c r="H486" t="s">
        <v>32</v>
      </c>
      <c r="I486" t="s">
        <v>58</v>
      </c>
      <c r="J486" t="s">
        <v>47</v>
      </c>
      <c r="K486" t="s">
        <v>48</v>
      </c>
      <c r="L486" t="s">
        <v>49</v>
      </c>
      <c r="M486">
        <v>5</v>
      </c>
      <c r="N486">
        <v>8383</v>
      </c>
      <c r="O486" s="2">
        <v>10</v>
      </c>
      <c r="P486" s="2">
        <v>37723.5</v>
      </c>
      <c r="Q486" s="2">
        <v>29968.87</v>
      </c>
      <c r="R486" s="2">
        <v>7754.63</v>
      </c>
      <c r="S486" t="s">
        <v>81</v>
      </c>
      <c r="T486">
        <v>5</v>
      </c>
      <c r="U486" t="s">
        <v>51</v>
      </c>
      <c r="V486" t="s">
        <v>39</v>
      </c>
      <c r="W486" s="3">
        <f>Table1[[#This Row],[Profit]]/Table1[[#This Row],[Sales]]</f>
        <v>0.20556496613516773</v>
      </c>
      <c r="X486" t="str">
        <f>IF(Table1[[#This Row],[Sales]]&gt;=30000,"High Value",IF(Table1[[#This Row],[Sales]]&gt;=15000,"Medium Value","Low Value"))</f>
        <v>High Value</v>
      </c>
      <c r="Y486" t="str">
        <f>IF(Table1[[#This Row],[Quantity]]&gt;=3,"Bulk Order","Regular Order")</f>
        <v>Bulk Order</v>
      </c>
      <c r="Z486" t="str">
        <f>TEXT(Table1[[#This Row],[Order Date]],"dddd")</f>
        <v>Monday</v>
      </c>
    </row>
    <row r="487" spans="1:26" ht="14.4" x14ac:dyDescent="0.3">
      <c r="A487" t="s">
        <v>1263</v>
      </c>
      <c r="B487" t="s">
        <v>1264</v>
      </c>
      <c r="C487" s="2">
        <v>46143</v>
      </c>
      <c r="D487" t="s">
        <v>28</v>
      </c>
      <c r="E487" t="s">
        <v>102</v>
      </c>
      <c r="F487" t="s">
        <v>713</v>
      </c>
      <c r="G487" t="s">
        <v>249</v>
      </c>
      <c r="H487" t="s">
        <v>32</v>
      </c>
      <c r="I487" t="s">
        <v>33</v>
      </c>
      <c r="J487" t="s">
        <v>149</v>
      </c>
      <c r="K487" t="s">
        <v>150</v>
      </c>
      <c r="L487" t="s">
        <v>151</v>
      </c>
      <c r="M487">
        <v>1</v>
      </c>
      <c r="N487">
        <v>3936</v>
      </c>
      <c r="O487" s="2">
        <v>0</v>
      </c>
      <c r="P487" s="2">
        <v>3936</v>
      </c>
      <c r="Q487" s="2">
        <v>2795.53</v>
      </c>
      <c r="R487" s="2">
        <v>1140.47</v>
      </c>
      <c r="S487" t="s">
        <v>81</v>
      </c>
      <c r="T487">
        <v>5</v>
      </c>
      <c r="U487" t="s">
        <v>51</v>
      </c>
      <c r="V487" t="s">
        <v>116</v>
      </c>
      <c r="W487" s="3">
        <f>Table1[[#This Row],[Profit]]/Table1[[#This Row],[Sales]]</f>
        <v>0.28975355691056909</v>
      </c>
      <c r="X487" t="str">
        <f>IF(Table1[[#This Row],[Sales]]&gt;=30000,"High Value",IF(Table1[[#This Row],[Sales]]&gt;=15000,"Medium Value","Low Value"))</f>
        <v>Low Value</v>
      </c>
      <c r="Y487" t="str">
        <f>IF(Table1[[#This Row],[Quantity]]&gt;=3,"Bulk Order","Regular Order")</f>
        <v>Regular Order</v>
      </c>
      <c r="Z487" t="str">
        <f>TEXT(Table1[[#This Row],[Order Date]],"dddd")</f>
        <v>Friday</v>
      </c>
    </row>
    <row r="488" spans="1:26" ht="14.4" x14ac:dyDescent="0.3">
      <c r="A488" t="s">
        <v>1265</v>
      </c>
      <c r="B488" t="s">
        <v>1266</v>
      </c>
      <c r="C488" s="2">
        <v>46195</v>
      </c>
      <c r="D488" t="s">
        <v>42</v>
      </c>
      <c r="E488" t="s">
        <v>29</v>
      </c>
      <c r="F488" t="s">
        <v>378</v>
      </c>
      <c r="G488" t="s">
        <v>245</v>
      </c>
      <c r="H488" t="s">
        <v>46</v>
      </c>
      <c r="I488" t="s">
        <v>33</v>
      </c>
      <c r="J488" t="s">
        <v>169</v>
      </c>
      <c r="K488" t="s">
        <v>170</v>
      </c>
      <c r="L488" t="s">
        <v>171</v>
      </c>
      <c r="M488">
        <v>1</v>
      </c>
      <c r="N488">
        <v>11997</v>
      </c>
      <c r="O488" s="2">
        <v>0</v>
      </c>
      <c r="P488" s="2">
        <v>11997</v>
      </c>
      <c r="Q488" s="2">
        <v>9417.9</v>
      </c>
      <c r="R488" s="2">
        <v>2579.1</v>
      </c>
      <c r="S488" t="s">
        <v>50</v>
      </c>
      <c r="T488">
        <v>5</v>
      </c>
      <c r="U488" t="s">
        <v>51</v>
      </c>
      <c r="V488" t="s">
        <v>63</v>
      </c>
      <c r="W488" s="3">
        <f>Table1[[#This Row],[Profit]]/Table1[[#This Row],[Sales]]</f>
        <v>0.21497874468617154</v>
      </c>
      <c r="X488" t="str">
        <f>IF(Table1[[#This Row],[Sales]]&gt;=30000,"High Value",IF(Table1[[#This Row],[Sales]]&gt;=15000,"Medium Value","Low Value"))</f>
        <v>Low Value</v>
      </c>
      <c r="Y488" t="str">
        <f>IF(Table1[[#This Row],[Quantity]]&gt;=3,"Bulk Order","Regular Order")</f>
        <v>Regular Order</v>
      </c>
      <c r="Z488" t="str">
        <f>TEXT(Table1[[#This Row],[Order Date]],"dddd")</f>
        <v>Monday</v>
      </c>
    </row>
    <row r="489" spans="1:26" ht="14.4" x14ac:dyDescent="0.3">
      <c r="A489" t="s">
        <v>1267</v>
      </c>
      <c r="B489" t="s">
        <v>1268</v>
      </c>
      <c r="C489" s="2">
        <v>46148</v>
      </c>
      <c r="D489" t="s">
        <v>28</v>
      </c>
      <c r="E489" t="s">
        <v>55</v>
      </c>
      <c r="F489" t="s">
        <v>581</v>
      </c>
      <c r="G489" t="s">
        <v>134</v>
      </c>
      <c r="H489" t="s">
        <v>46</v>
      </c>
      <c r="I489" t="s">
        <v>58</v>
      </c>
      <c r="J489" t="s">
        <v>169</v>
      </c>
      <c r="K489" t="s">
        <v>170</v>
      </c>
      <c r="L489" t="s">
        <v>171</v>
      </c>
      <c r="M489">
        <v>4</v>
      </c>
      <c r="N489">
        <v>10272</v>
      </c>
      <c r="O489" s="2">
        <v>0</v>
      </c>
      <c r="P489" s="2">
        <v>41088</v>
      </c>
      <c r="Q489" s="2">
        <v>32418.99</v>
      </c>
      <c r="R489" s="2">
        <v>8669.01</v>
      </c>
      <c r="S489" t="s">
        <v>81</v>
      </c>
      <c r="T489">
        <v>5</v>
      </c>
      <c r="U489" t="s">
        <v>51</v>
      </c>
      <c r="V489" t="s">
        <v>75</v>
      </c>
      <c r="W489" s="3">
        <f>Table1[[#This Row],[Profit]]/Table1[[#This Row],[Sales]]</f>
        <v>0.21098641939252338</v>
      </c>
      <c r="X489" t="str">
        <f>IF(Table1[[#This Row],[Sales]]&gt;=30000,"High Value",IF(Table1[[#This Row],[Sales]]&gt;=15000,"Medium Value","Low Value"))</f>
        <v>High Value</v>
      </c>
      <c r="Y489" t="str">
        <f>IF(Table1[[#This Row],[Quantity]]&gt;=3,"Bulk Order","Regular Order")</f>
        <v>Bulk Order</v>
      </c>
      <c r="Z489" t="str">
        <f>TEXT(Table1[[#This Row],[Order Date]],"dddd")</f>
        <v>Wednesday</v>
      </c>
    </row>
    <row r="490" spans="1:26" ht="14.4" x14ac:dyDescent="0.3">
      <c r="A490" t="s">
        <v>1269</v>
      </c>
      <c r="B490" t="s">
        <v>1270</v>
      </c>
      <c r="C490" s="2">
        <v>46171</v>
      </c>
      <c r="D490" t="s">
        <v>28</v>
      </c>
      <c r="E490" t="s">
        <v>78</v>
      </c>
      <c r="F490" t="s">
        <v>178</v>
      </c>
      <c r="G490" t="s">
        <v>134</v>
      </c>
      <c r="H490" t="s">
        <v>46</v>
      </c>
      <c r="I490" t="s">
        <v>58</v>
      </c>
      <c r="J490" t="s">
        <v>59</v>
      </c>
      <c r="K490" t="s">
        <v>95</v>
      </c>
      <c r="L490" t="s">
        <v>36</v>
      </c>
      <c r="M490">
        <v>5</v>
      </c>
      <c r="N490">
        <v>16028</v>
      </c>
      <c r="O490" s="2">
        <v>5</v>
      </c>
      <c r="P490" s="2">
        <v>76133</v>
      </c>
      <c r="Q490" s="2">
        <v>61735.99</v>
      </c>
      <c r="R490" s="2">
        <v>14397.01</v>
      </c>
      <c r="S490" t="s">
        <v>37</v>
      </c>
      <c r="T490">
        <v>4</v>
      </c>
      <c r="U490" t="s">
        <v>51</v>
      </c>
      <c r="V490" t="s">
        <v>39</v>
      </c>
      <c r="W490" s="3">
        <f>Table1[[#This Row],[Profit]]/Table1[[#This Row],[Sales]]</f>
        <v>0.18910341113577556</v>
      </c>
      <c r="X490" t="str">
        <f>IF(Table1[[#This Row],[Sales]]&gt;=30000,"High Value",IF(Table1[[#This Row],[Sales]]&gt;=15000,"Medium Value","Low Value"))</f>
        <v>High Value</v>
      </c>
      <c r="Y490" t="str">
        <f>IF(Table1[[#This Row],[Quantity]]&gt;=3,"Bulk Order","Regular Order")</f>
        <v>Bulk Order</v>
      </c>
      <c r="Z490" t="str">
        <f>TEXT(Table1[[#This Row],[Order Date]],"dddd")</f>
        <v>Friday</v>
      </c>
    </row>
    <row r="491" spans="1:26" ht="14.4" x14ac:dyDescent="0.3">
      <c r="A491" t="s">
        <v>1271</v>
      </c>
      <c r="B491" t="s">
        <v>1272</v>
      </c>
      <c r="C491" s="2">
        <v>46159</v>
      </c>
      <c r="D491" t="s">
        <v>28</v>
      </c>
      <c r="E491" t="s">
        <v>133</v>
      </c>
      <c r="F491" t="s">
        <v>610</v>
      </c>
      <c r="G491" t="s">
        <v>186</v>
      </c>
      <c r="H491" t="s">
        <v>32</v>
      </c>
      <c r="I491" t="s">
        <v>33</v>
      </c>
      <c r="J491" t="s">
        <v>47</v>
      </c>
      <c r="K491" t="s">
        <v>48</v>
      </c>
      <c r="L491" t="s">
        <v>49</v>
      </c>
      <c r="M491">
        <v>2</v>
      </c>
      <c r="N491">
        <v>8301</v>
      </c>
      <c r="O491" s="2">
        <v>10</v>
      </c>
      <c r="P491" s="2">
        <v>14941.8</v>
      </c>
      <c r="Q491" s="2">
        <v>12017.8</v>
      </c>
      <c r="R491" s="2">
        <v>2924</v>
      </c>
      <c r="S491" t="s">
        <v>50</v>
      </c>
      <c r="T491">
        <v>4</v>
      </c>
      <c r="U491" t="s">
        <v>51</v>
      </c>
      <c r="V491" t="s">
        <v>75</v>
      </c>
      <c r="W491" s="3">
        <f>Table1[[#This Row],[Profit]]/Table1[[#This Row],[Sales]]</f>
        <v>0.19569262070165577</v>
      </c>
      <c r="X491" t="str">
        <f>IF(Table1[[#This Row],[Sales]]&gt;=30000,"High Value",IF(Table1[[#This Row],[Sales]]&gt;=15000,"Medium Value","Low Value"))</f>
        <v>Low Value</v>
      </c>
      <c r="Y491" t="str">
        <f>IF(Table1[[#This Row],[Quantity]]&gt;=3,"Bulk Order","Regular Order")</f>
        <v>Regular Order</v>
      </c>
      <c r="Z491" t="str">
        <f>TEXT(Table1[[#This Row],[Order Date]],"dddd")</f>
        <v>Sunday</v>
      </c>
    </row>
    <row r="492" spans="1:26" ht="14.4" x14ac:dyDescent="0.3">
      <c r="A492" t="s">
        <v>1273</v>
      </c>
      <c r="B492" t="s">
        <v>1274</v>
      </c>
      <c r="C492" s="2">
        <v>46163</v>
      </c>
      <c r="D492" t="s">
        <v>28</v>
      </c>
      <c r="E492" t="s">
        <v>55</v>
      </c>
      <c r="F492" t="s">
        <v>383</v>
      </c>
      <c r="G492" t="s">
        <v>134</v>
      </c>
      <c r="H492" t="s">
        <v>46</v>
      </c>
      <c r="I492" t="s">
        <v>58</v>
      </c>
      <c r="J492" t="s">
        <v>169</v>
      </c>
      <c r="K492" t="s">
        <v>170</v>
      </c>
      <c r="L492" t="s">
        <v>171</v>
      </c>
      <c r="M492">
        <v>4</v>
      </c>
      <c r="N492">
        <v>10991</v>
      </c>
      <c r="O492" s="2">
        <v>0</v>
      </c>
      <c r="P492" s="2">
        <v>43964</v>
      </c>
      <c r="Q492" s="2">
        <v>35237.26</v>
      </c>
      <c r="R492" s="2">
        <v>8726.74</v>
      </c>
      <c r="S492" t="s">
        <v>37</v>
      </c>
      <c r="T492">
        <v>4</v>
      </c>
      <c r="U492" t="s">
        <v>51</v>
      </c>
      <c r="V492" t="s">
        <v>63</v>
      </c>
      <c r="W492" s="3">
        <f>Table1[[#This Row],[Profit]]/Table1[[#This Row],[Sales]]</f>
        <v>0.19849740696933854</v>
      </c>
      <c r="X492" t="str">
        <f>IF(Table1[[#This Row],[Sales]]&gt;=30000,"High Value",IF(Table1[[#This Row],[Sales]]&gt;=15000,"Medium Value","Low Value"))</f>
        <v>High Value</v>
      </c>
      <c r="Y492" t="str">
        <f>IF(Table1[[#This Row],[Quantity]]&gt;=3,"Bulk Order","Regular Order")</f>
        <v>Bulk Order</v>
      </c>
      <c r="Z492" t="str">
        <f>TEXT(Table1[[#This Row],[Order Date]],"dddd")</f>
        <v>Thursday</v>
      </c>
    </row>
    <row r="493" spans="1:26" ht="14.4" x14ac:dyDescent="0.3">
      <c r="A493" t="s">
        <v>1275</v>
      </c>
      <c r="B493" t="s">
        <v>1276</v>
      </c>
      <c r="C493" s="2">
        <v>46164</v>
      </c>
      <c r="D493" t="s">
        <v>28</v>
      </c>
      <c r="E493" t="s">
        <v>29</v>
      </c>
      <c r="F493" t="s">
        <v>923</v>
      </c>
      <c r="G493" t="s">
        <v>186</v>
      </c>
      <c r="H493" t="s">
        <v>32</v>
      </c>
      <c r="I493" t="s">
        <v>33</v>
      </c>
      <c r="J493" t="s">
        <v>59</v>
      </c>
      <c r="K493" t="s">
        <v>60</v>
      </c>
      <c r="L493" t="s">
        <v>61</v>
      </c>
      <c r="M493">
        <v>1</v>
      </c>
      <c r="N493">
        <v>15812</v>
      </c>
      <c r="O493" s="2">
        <v>10</v>
      </c>
      <c r="P493" s="2">
        <v>14230.8</v>
      </c>
      <c r="Q493" s="2">
        <v>11595.87</v>
      </c>
      <c r="R493" s="2">
        <v>2634.93</v>
      </c>
      <c r="S493" t="s">
        <v>81</v>
      </c>
      <c r="T493">
        <v>4</v>
      </c>
      <c r="U493" t="s">
        <v>51</v>
      </c>
      <c r="V493" t="s">
        <v>39</v>
      </c>
      <c r="W493" s="3">
        <f>Table1[[#This Row],[Profit]]/Table1[[#This Row],[Sales]]</f>
        <v>0.18515684290412346</v>
      </c>
      <c r="X493" t="str">
        <f>IF(Table1[[#This Row],[Sales]]&gt;=30000,"High Value",IF(Table1[[#This Row],[Sales]]&gt;=15000,"Medium Value","Low Value"))</f>
        <v>Low Value</v>
      </c>
      <c r="Y493" t="str">
        <f>IF(Table1[[#This Row],[Quantity]]&gt;=3,"Bulk Order","Regular Order")</f>
        <v>Regular Order</v>
      </c>
      <c r="Z493" t="str">
        <f>TEXT(Table1[[#This Row],[Order Date]],"dddd")</f>
        <v>Friday</v>
      </c>
    </row>
    <row r="494" spans="1:26" ht="14.4" x14ac:dyDescent="0.3">
      <c r="A494" t="s">
        <v>1277</v>
      </c>
      <c r="B494" t="s">
        <v>1278</v>
      </c>
      <c r="C494" s="2">
        <v>46196</v>
      </c>
      <c r="D494" t="s">
        <v>42</v>
      </c>
      <c r="E494" t="s">
        <v>43</v>
      </c>
      <c r="F494" t="s">
        <v>1161</v>
      </c>
      <c r="G494" t="s">
        <v>168</v>
      </c>
      <c r="H494" t="s">
        <v>32</v>
      </c>
      <c r="I494" t="s">
        <v>33</v>
      </c>
      <c r="J494" t="s">
        <v>47</v>
      </c>
      <c r="K494" t="s">
        <v>48</v>
      </c>
      <c r="L494" t="s">
        <v>49</v>
      </c>
      <c r="M494">
        <v>1</v>
      </c>
      <c r="N494">
        <v>8638</v>
      </c>
      <c r="O494" s="2">
        <v>5</v>
      </c>
      <c r="P494" s="2">
        <v>8206.1</v>
      </c>
      <c r="Q494" s="2">
        <v>6670.91</v>
      </c>
      <c r="R494" s="2">
        <v>1535.19</v>
      </c>
      <c r="S494" t="s">
        <v>50</v>
      </c>
      <c r="T494">
        <v>3</v>
      </c>
      <c r="U494" t="s">
        <v>51</v>
      </c>
      <c r="V494" t="s">
        <v>75</v>
      </c>
      <c r="W494" s="3">
        <f>Table1[[#This Row],[Profit]]/Table1[[#This Row],[Sales]]</f>
        <v>0.18707912406624341</v>
      </c>
      <c r="X494" t="str">
        <f>IF(Table1[[#This Row],[Sales]]&gt;=30000,"High Value",IF(Table1[[#This Row],[Sales]]&gt;=15000,"Medium Value","Low Value"))</f>
        <v>Low Value</v>
      </c>
      <c r="Y494" t="str">
        <f>IF(Table1[[#This Row],[Quantity]]&gt;=3,"Bulk Order","Regular Order")</f>
        <v>Regular Order</v>
      </c>
      <c r="Z494" t="str">
        <f>TEXT(Table1[[#This Row],[Order Date]],"dddd")</f>
        <v>Tuesday</v>
      </c>
    </row>
    <row r="495" spans="1:26" ht="14.4" x14ac:dyDescent="0.3">
      <c r="A495" t="s">
        <v>1279</v>
      </c>
      <c r="B495" t="s">
        <v>1280</v>
      </c>
      <c r="C495" s="2">
        <v>46167</v>
      </c>
      <c r="D495" t="s">
        <v>28</v>
      </c>
      <c r="E495" t="s">
        <v>133</v>
      </c>
      <c r="F495" t="s">
        <v>214</v>
      </c>
      <c r="G495" t="s">
        <v>141</v>
      </c>
      <c r="H495" t="s">
        <v>46</v>
      </c>
      <c r="I495" t="s">
        <v>58</v>
      </c>
      <c r="J495" t="s">
        <v>169</v>
      </c>
      <c r="K495" t="s">
        <v>170</v>
      </c>
      <c r="L495" t="s">
        <v>171</v>
      </c>
      <c r="M495">
        <v>4</v>
      </c>
      <c r="N495">
        <v>9182</v>
      </c>
      <c r="O495" s="2">
        <v>5</v>
      </c>
      <c r="P495" s="2">
        <v>34891.599999999999</v>
      </c>
      <c r="Q495" s="2">
        <v>28057.49</v>
      </c>
      <c r="R495" s="2">
        <v>6834.11</v>
      </c>
      <c r="S495" t="s">
        <v>37</v>
      </c>
      <c r="T495">
        <v>4</v>
      </c>
      <c r="U495" t="s">
        <v>51</v>
      </c>
      <c r="V495" t="s">
        <v>39</v>
      </c>
      <c r="W495" s="3">
        <f>Table1[[#This Row],[Profit]]/Table1[[#This Row],[Sales]]</f>
        <v>0.19586691352646482</v>
      </c>
      <c r="X495" t="str">
        <f>IF(Table1[[#This Row],[Sales]]&gt;=30000,"High Value",IF(Table1[[#This Row],[Sales]]&gt;=15000,"Medium Value","Low Value"))</f>
        <v>High Value</v>
      </c>
      <c r="Y495" t="str">
        <f>IF(Table1[[#This Row],[Quantity]]&gt;=3,"Bulk Order","Regular Order")</f>
        <v>Bulk Order</v>
      </c>
      <c r="Z495" t="str">
        <f>TEXT(Table1[[#This Row],[Order Date]],"dddd")</f>
        <v>Monday</v>
      </c>
    </row>
    <row r="496" spans="1:26" ht="14.4" x14ac:dyDescent="0.3">
      <c r="A496" t="s">
        <v>1281</v>
      </c>
      <c r="B496" t="s">
        <v>1282</v>
      </c>
      <c r="C496" s="2">
        <v>46166</v>
      </c>
      <c r="D496" t="s">
        <v>28</v>
      </c>
      <c r="E496" t="s">
        <v>55</v>
      </c>
      <c r="F496" t="s">
        <v>716</v>
      </c>
      <c r="G496" t="s">
        <v>104</v>
      </c>
      <c r="H496" t="s">
        <v>32</v>
      </c>
      <c r="I496" t="s">
        <v>33</v>
      </c>
      <c r="J496" t="s">
        <v>59</v>
      </c>
      <c r="K496" t="s">
        <v>95</v>
      </c>
      <c r="L496" t="s">
        <v>36</v>
      </c>
      <c r="M496">
        <v>1</v>
      </c>
      <c r="N496">
        <v>16344</v>
      </c>
      <c r="O496" s="2">
        <v>0</v>
      </c>
      <c r="P496" s="2">
        <v>16344</v>
      </c>
      <c r="Q496" s="2">
        <v>13235.87</v>
      </c>
      <c r="R496" s="2">
        <v>3108.13</v>
      </c>
      <c r="S496" t="s">
        <v>37</v>
      </c>
      <c r="T496">
        <v>5</v>
      </c>
      <c r="U496" t="s">
        <v>51</v>
      </c>
      <c r="V496" t="s">
        <v>116</v>
      </c>
      <c r="W496" s="3">
        <f>Table1[[#This Row],[Profit]]/Table1[[#This Row],[Sales]]</f>
        <v>0.19016948115516399</v>
      </c>
      <c r="X496" t="str">
        <f>IF(Table1[[#This Row],[Sales]]&gt;=30000,"High Value",IF(Table1[[#This Row],[Sales]]&gt;=15000,"Medium Value","Low Value"))</f>
        <v>Medium Value</v>
      </c>
      <c r="Y496" t="str">
        <f>IF(Table1[[#This Row],[Quantity]]&gt;=3,"Bulk Order","Regular Order")</f>
        <v>Regular Order</v>
      </c>
      <c r="Z496" t="str">
        <f>TEXT(Table1[[#This Row],[Order Date]],"dddd")</f>
        <v>Sunday</v>
      </c>
    </row>
    <row r="497" spans="1:26" ht="14.4" x14ac:dyDescent="0.3">
      <c r="A497" t="s">
        <v>1283</v>
      </c>
      <c r="B497" t="s">
        <v>1284</v>
      </c>
      <c r="C497" s="2">
        <v>46155</v>
      </c>
      <c r="D497" t="s">
        <v>28</v>
      </c>
      <c r="E497" t="s">
        <v>66</v>
      </c>
      <c r="F497" t="s">
        <v>657</v>
      </c>
      <c r="G497" t="s">
        <v>80</v>
      </c>
      <c r="H497" t="s">
        <v>46</v>
      </c>
      <c r="I497" t="s">
        <v>33</v>
      </c>
      <c r="J497" t="s">
        <v>169</v>
      </c>
      <c r="K497" t="s">
        <v>170</v>
      </c>
      <c r="L497" t="s">
        <v>171</v>
      </c>
      <c r="M497">
        <v>2</v>
      </c>
      <c r="N497">
        <v>9119</v>
      </c>
      <c r="O497" s="2">
        <v>15</v>
      </c>
      <c r="P497" s="2">
        <v>15502.3</v>
      </c>
      <c r="Q497" s="2">
        <v>12345.08</v>
      </c>
      <c r="R497" s="2">
        <v>3157.22</v>
      </c>
      <c r="S497" t="s">
        <v>50</v>
      </c>
      <c r="T497">
        <v>5</v>
      </c>
      <c r="U497" t="s">
        <v>51</v>
      </c>
      <c r="V497" t="s">
        <v>39</v>
      </c>
      <c r="W497" s="3">
        <f>Table1[[#This Row],[Profit]]/Table1[[#This Row],[Sales]]</f>
        <v>0.20366139218051516</v>
      </c>
      <c r="X497" t="str">
        <f>IF(Table1[[#This Row],[Sales]]&gt;=30000,"High Value",IF(Table1[[#This Row],[Sales]]&gt;=15000,"Medium Value","Low Value"))</f>
        <v>Medium Value</v>
      </c>
      <c r="Y497" t="str">
        <f>IF(Table1[[#This Row],[Quantity]]&gt;=3,"Bulk Order","Regular Order")</f>
        <v>Regular Order</v>
      </c>
      <c r="Z497" t="str">
        <f>TEXT(Table1[[#This Row],[Order Date]],"dddd")</f>
        <v>Wednesday</v>
      </c>
    </row>
    <row r="498" spans="1:26" ht="14.4" x14ac:dyDescent="0.3">
      <c r="A498" t="s">
        <v>1285</v>
      </c>
      <c r="B498" t="s">
        <v>1286</v>
      </c>
      <c r="C498" s="2">
        <v>46192</v>
      </c>
      <c r="D498" t="s">
        <v>42</v>
      </c>
      <c r="E498" t="s">
        <v>55</v>
      </c>
      <c r="F498" t="s">
        <v>900</v>
      </c>
      <c r="G498" t="s">
        <v>322</v>
      </c>
      <c r="H498" t="s">
        <v>32</v>
      </c>
      <c r="I498" t="s">
        <v>58</v>
      </c>
      <c r="J498" t="s">
        <v>59</v>
      </c>
      <c r="K498" t="s">
        <v>60</v>
      </c>
      <c r="L498" t="s">
        <v>61</v>
      </c>
      <c r="M498">
        <v>4</v>
      </c>
      <c r="N498">
        <v>17415</v>
      </c>
      <c r="O498" s="2">
        <v>0</v>
      </c>
      <c r="P498" s="2">
        <v>69660</v>
      </c>
      <c r="Q498" s="2">
        <v>56986.95</v>
      </c>
      <c r="R498" s="2">
        <v>12673.05</v>
      </c>
      <c r="S498" t="s">
        <v>50</v>
      </c>
      <c r="T498">
        <v>5</v>
      </c>
      <c r="U498" t="s">
        <v>51</v>
      </c>
      <c r="V498" t="s">
        <v>86</v>
      </c>
      <c r="W498" s="3">
        <f>Table1[[#This Row],[Profit]]/Table1[[#This Row],[Sales]]</f>
        <v>0.18192721791558999</v>
      </c>
      <c r="X498" t="str">
        <f>IF(Table1[[#This Row],[Sales]]&gt;=30000,"High Value",IF(Table1[[#This Row],[Sales]]&gt;=15000,"Medium Value","Low Value"))</f>
        <v>High Value</v>
      </c>
      <c r="Y498" t="str">
        <f>IF(Table1[[#This Row],[Quantity]]&gt;=3,"Bulk Order","Regular Order")</f>
        <v>Bulk Order</v>
      </c>
      <c r="Z498" t="str">
        <f>TEXT(Table1[[#This Row],[Order Date]],"dddd")</f>
        <v>Friday</v>
      </c>
    </row>
    <row r="499" spans="1:26" ht="14.4" x14ac:dyDescent="0.3">
      <c r="A499" t="s">
        <v>1287</v>
      </c>
      <c r="B499" t="s">
        <v>1288</v>
      </c>
      <c r="C499" s="2">
        <v>46149</v>
      </c>
      <c r="D499" t="s">
        <v>28</v>
      </c>
      <c r="E499" t="s">
        <v>133</v>
      </c>
      <c r="F499" t="s">
        <v>203</v>
      </c>
      <c r="G499" t="s">
        <v>182</v>
      </c>
      <c r="H499" t="s">
        <v>46</v>
      </c>
      <c r="I499" t="s">
        <v>33</v>
      </c>
      <c r="J499" t="s">
        <v>59</v>
      </c>
      <c r="K499" t="s">
        <v>60</v>
      </c>
      <c r="L499" t="s">
        <v>61</v>
      </c>
      <c r="M499">
        <v>1</v>
      </c>
      <c r="N499">
        <v>15657</v>
      </c>
      <c r="O499" s="2">
        <v>10</v>
      </c>
      <c r="P499" s="2">
        <v>14091.3</v>
      </c>
      <c r="Q499" s="2">
        <v>11152.51</v>
      </c>
      <c r="R499" s="2">
        <v>2938.79</v>
      </c>
      <c r="S499" t="s">
        <v>50</v>
      </c>
      <c r="T499">
        <v>4</v>
      </c>
      <c r="U499" t="s">
        <v>51</v>
      </c>
      <c r="V499" t="s">
        <v>75</v>
      </c>
      <c r="W499" s="3">
        <f>Table1[[#This Row],[Profit]]/Table1[[#This Row],[Sales]]</f>
        <v>0.20855350464470987</v>
      </c>
      <c r="X499" t="str">
        <f>IF(Table1[[#This Row],[Sales]]&gt;=30000,"High Value",IF(Table1[[#This Row],[Sales]]&gt;=15000,"Medium Value","Low Value"))</f>
        <v>Low Value</v>
      </c>
      <c r="Y499" t="str">
        <f>IF(Table1[[#This Row],[Quantity]]&gt;=3,"Bulk Order","Regular Order")</f>
        <v>Regular Order</v>
      </c>
      <c r="Z499" t="str">
        <f>TEXT(Table1[[#This Row],[Order Date]],"dddd")</f>
        <v>Thursday</v>
      </c>
    </row>
    <row r="500" spans="1:26" ht="14.4" x14ac:dyDescent="0.3">
      <c r="A500" t="s">
        <v>1289</v>
      </c>
      <c r="B500" t="s">
        <v>1290</v>
      </c>
      <c r="C500" s="2">
        <v>46195</v>
      </c>
      <c r="D500" t="s">
        <v>42</v>
      </c>
      <c r="E500" t="s">
        <v>55</v>
      </c>
      <c r="F500" t="s">
        <v>316</v>
      </c>
      <c r="G500" t="s">
        <v>120</v>
      </c>
      <c r="H500" t="s">
        <v>46</v>
      </c>
      <c r="I500" t="s">
        <v>33</v>
      </c>
      <c r="J500" t="s">
        <v>59</v>
      </c>
      <c r="K500" t="s">
        <v>60</v>
      </c>
      <c r="L500" t="s">
        <v>61</v>
      </c>
      <c r="M500">
        <v>2</v>
      </c>
      <c r="N500">
        <v>17406</v>
      </c>
      <c r="O500" s="2">
        <v>15</v>
      </c>
      <c r="P500" s="2">
        <v>29590.2</v>
      </c>
      <c r="Q500" s="2">
        <v>24108.58</v>
      </c>
      <c r="R500" s="2">
        <v>5481.62</v>
      </c>
      <c r="S500" t="s">
        <v>37</v>
      </c>
      <c r="T500">
        <v>5</v>
      </c>
      <c r="U500" t="s">
        <v>51</v>
      </c>
      <c r="V500" t="s">
        <v>52</v>
      </c>
      <c r="W500" s="3">
        <f>Table1[[#This Row],[Profit]]/Table1[[#This Row],[Sales]]</f>
        <v>0.18525119803178078</v>
      </c>
      <c r="X500" t="str">
        <f>IF(Table1[[#This Row],[Sales]]&gt;=30000,"High Value",IF(Table1[[#This Row],[Sales]]&gt;=15000,"Medium Value","Low Value"))</f>
        <v>Medium Value</v>
      </c>
      <c r="Y500" t="str">
        <f>IF(Table1[[#This Row],[Quantity]]&gt;=3,"Bulk Order","Regular Order")</f>
        <v>Regular Order</v>
      </c>
      <c r="Z500" t="str">
        <f>TEXT(Table1[[#This Row],[Order Date]],"dddd")</f>
        <v>Monday</v>
      </c>
    </row>
    <row r="501" spans="1:26" ht="14.4" x14ac:dyDescent="0.3">
      <c r="A501" t="s">
        <v>1291</v>
      </c>
      <c r="B501" t="s">
        <v>1292</v>
      </c>
      <c r="C501" s="2">
        <v>46151</v>
      </c>
      <c r="D501" t="s">
        <v>28</v>
      </c>
      <c r="E501" t="s">
        <v>55</v>
      </c>
      <c r="F501" t="s">
        <v>232</v>
      </c>
      <c r="G501" t="s">
        <v>108</v>
      </c>
      <c r="H501" t="s">
        <v>32</v>
      </c>
      <c r="I501" t="s">
        <v>58</v>
      </c>
      <c r="J501" t="s">
        <v>169</v>
      </c>
      <c r="K501" t="s">
        <v>170</v>
      </c>
      <c r="L501" t="s">
        <v>171</v>
      </c>
      <c r="M501">
        <v>4</v>
      </c>
      <c r="N501">
        <v>10585</v>
      </c>
      <c r="O501" s="2">
        <v>5</v>
      </c>
      <c r="P501" s="2">
        <v>40223</v>
      </c>
      <c r="Q501" s="2">
        <v>32076.13</v>
      </c>
      <c r="R501" s="2">
        <v>8146.87</v>
      </c>
      <c r="S501" t="s">
        <v>37</v>
      </c>
      <c r="T501">
        <v>4</v>
      </c>
      <c r="U501" t="s">
        <v>51</v>
      </c>
      <c r="V501" t="s">
        <v>52</v>
      </c>
      <c r="W501" s="3">
        <f>Table1[[#This Row],[Profit]]/Table1[[#This Row],[Sales]]</f>
        <v>0.20254257514357457</v>
      </c>
      <c r="X501" t="str">
        <f>IF(Table1[[#This Row],[Sales]]&gt;=30000,"High Value",IF(Table1[[#This Row],[Sales]]&gt;=15000,"Medium Value","Low Value"))</f>
        <v>High Value</v>
      </c>
      <c r="Y501" t="str">
        <f>IF(Table1[[#This Row],[Quantity]]&gt;=3,"Bulk Order","Regular Order")</f>
        <v>Bulk Order</v>
      </c>
      <c r="Z501" t="str">
        <f>TEXT(Table1[[#This Row],[Order Date]],"dddd")</f>
        <v>Saturday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zoomScaleNormal="100" workbookViewId="0">
      <pane ySplit="1" topLeftCell="A2" activePane="bottomLeft" state="frozen"/>
      <selection pane="bottomLeft" activeCell="E12" sqref="E12"/>
    </sheetView>
  </sheetViews>
  <sheetFormatPr defaultColWidth="8.6640625" defaultRowHeight="14.25" customHeight="1" x14ac:dyDescent="0.3"/>
  <cols>
    <col min="1" max="1" width="24" style="4" customWidth="1"/>
    <col min="2" max="2" width="38" style="5" customWidth="1"/>
  </cols>
  <sheetData>
    <row r="1" spans="1:2" x14ac:dyDescent="0.3">
      <c r="A1" s="6" t="s">
        <v>1293</v>
      </c>
      <c r="B1" s="7" t="s">
        <v>1294</v>
      </c>
    </row>
    <row r="2" spans="1:2" x14ac:dyDescent="0.3">
      <c r="A2" s="8" t="s">
        <v>1295</v>
      </c>
      <c r="B2" s="9">
        <v>500</v>
      </c>
    </row>
    <row r="3" spans="1:2" x14ac:dyDescent="0.3">
      <c r="A3" s="8" t="s">
        <v>1296</v>
      </c>
      <c r="B3" s="9">
        <v>26</v>
      </c>
    </row>
    <row r="4" spans="1:2" x14ac:dyDescent="0.3">
      <c r="A4" s="8" t="s">
        <v>1297</v>
      </c>
      <c r="B4" s="9">
        <v>0</v>
      </c>
    </row>
    <row r="5" spans="1:2" x14ac:dyDescent="0.3">
      <c r="A5" s="8" t="s">
        <v>1298</v>
      </c>
      <c r="B5" s="9">
        <v>0</v>
      </c>
    </row>
    <row r="6" spans="1:2" x14ac:dyDescent="0.3">
      <c r="A6" s="8" t="s">
        <v>1299</v>
      </c>
      <c r="B6" s="9" t="s">
        <v>1300</v>
      </c>
    </row>
    <row r="7" spans="1:2" x14ac:dyDescent="0.3">
      <c r="A7" s="8" t="s">
        <v>1301</v>
      </c>
      <c r="B7" s="9" t="s">
        <v>1302</v>
      </c>
    </row>
    <row r="8" spans="1:2" x14ac:dyDescent="0.3">
      <c r="A8" s="8" t="s">
        <v>1303</v>
      </c>
      <c r="B8" s="9" t="s">
        <v>1304</v>
      </c>
    </row>
    <row r="9" spans="1:2" x14ac:dyDescent="0.3">
      <c r="A9" s="8" t="s">
        <v>1305</v>
      </c>
      <c r="B9" s="9" t="s">
        <v>1306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Normal="100" workbookViewId="0">
      <pane ySplit="1" topLeftCell="A2" activePane="bottomLeft" state="frozen"/>
      <selection pane="bottomLeft" activeCell="B8" sqref="B8"/>
    </sheetView>
  </sheetViews>
  <sheetFormatPr defaultColWidth="8.6640625" defaultRowHeight="14.25" customHeight="1" x14ac:dyDescent="0.3"/>
  <cols>
    <col min="1" max="1" width="24" customWidth="1"/>
    <col min="2" max="2" width="22" customWidth="1"/>
    <col min="4" max="4" width="68" customWidth="1"/>
  </cols>
  <sheetData>
    <row r="1" spans="1:4" ht="14.4" x14ac:dyDescent="0.3">
      <c r="A1" s="10" t="s">
        <v>1307</v>
      </c>
      <c r="B1" s="10" t="s">
        <v>1308</v>
      </c>
    </row>
    <row r="2" spans="1:4" ht="14.4" x14ac:dyDescent="0.3">
      <c r="A2" s="8" t="s">
        <v>1309</v>
      </c>
      <c r="B2" s="11">
        <f>SUM(Table1[Sales])</f>
        <v>12482584.349999994</v>
      </c>
      <c r="D2" s="12" t="s">
        <v>1310</v>
      </c>
    </row>
    <row r="3" spans="1:4" ht="14.4" x14ac:dyDescent="0.3">
      <c r="A3" s="8" t="s">
        <v>1311</v>
      </c>
      <c r="B3" s="13">
        <f>SUM(Table1[Profit])</f>
        <v>2515406.6500000018</v>
      </c>
      <c r="D3" s="14" t="s">
        <v>1312</v>
      </c>
    </row>
    <row r="4" spans="1:4" ht="14.4" x14ac:dyDescent="0.3">
      <c r="A4" s="8" t="s">
        <v>1313</v>
      </c>
      <c r="B4" s="15">
        <f>COUNTA(Table1[Order ID])</f>
        <v>500</v>
      </c>
      <c r="D4" s="14" t="s">
        <v>1314</v>
      </c>
    </row>
    <row r="5" spans="1:4" ht="28.8" x14ac:dyDescent="0.3">
      <c r="A5" s="8" t="s">
        <v>1315</v>
      </c>
      <c r="B5" s="13">
        <f>AVERAGE(Table1[Sales])</f>
        <v>24965.168699999987</v>
      </c>
      <c r="D5" s="14" t="s">
        <v>1316</v>
      </c>
    </row>
    <row r="6" spans="1:4" ht="14.4" x14ac:dyDescent="0.3">
      <c r="A6" s="8" t="s">
        <v>1317</v>
      </c>
      <c r="B6" s="13">
        <f>SUM(Table1[Profit])/SUM(Table1[Sales])</f>
        <v>0.20151329079542754</v>
      </c>
    </row>
    <row r="7" spans="1:4" ht="28.5" customHeight="1" x14ac:dyDescent="0.3">
      <c r="A7" s="8" t="s">
        <v>1318</v>
      </c>
      <c r="B7" s="15">
        <f>SUMPRODUCT((Table1[Customer ID]&lt;&gt;"")/COUNTIF(Table1[Customer ID],Table1[Customer ID]&amp;""))</f>
        <v>167.00000000000014</v>
      </c>
    </row>
    <row r="8" spans="1:4" ht="14.4" x14ac:dyDescent="0.3">
      <c r="A8" s="8" t="s">
        <v>1319</v>
      </c>
      <c r="B8" s="15">
        <f>COUNTIF(Table1[Customer Segment],"High Value")</f>
        <v>155</v>
      </c>
    </row>
    <row r="9" spans="1:4" ht="28.5" customHeight="1" x14ac:dyDescent="0.3">
      <c r="A9" s="8" t="s">
        <v>1320</v>
      </c>
      <c r="B9" s="15">
        <f>COUNTIF(Table1[Customer Segment],"Medium Value")</f>
        <v>174</v>
      </c>
    </row>
    <row r="10" spans="1:4" ht="28.5" customHeight="1" x14ac:dyDescent="0.3">
      <c r="A10" s="8" t="s">
        <v>1321</v>
      </c>
      <c r="B10" s="15">
        <f>COUNTIF(Table1[Customer Segment],"Low Value")</f>
        <v>171</v>
      </c>
    </row>
    <row r="11" spans="1:4" ht="28.5" customHeight="1" x14ac:dyDescent="0.3">
      <c r="A11" s="16"/>
      <c r="B11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6"/>
  <sheetViews>
    <sheetView showGridLines="0" zoomScaleNormal="100" workbookViewId="0">
      <pane ySplit="3" topLeftCell="A4" activePane="bottomLeft" state="frozen"/>
      <selection pane="bottomLeft" activeCell="O12" sqref="O12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3</v>
      </c>
      <c r="B3" s="18" t="s">
        <v>1322</v>
      </c>
    </row>
    <row r="4" spans="1:2" x14ac:dyDescent="0.3">
      <c r="A4" s="19" t="s">
        <v>28</v>
      </c>
      <c r="B4" s="20">
        <v>6590173.2499999898</v>
      </c>
    </row>
    <row r="5" spans="1:2" x14ac:dyDescent="0.3">
      <c r="A5" s="21" t="s">
        <v>42</v>
      </c>
      <c r="B5" s="22">
        <v>5892411.0999999996</v>
      </c>
    </row>
    <row r="6" spans="1:2" x14ac:dyDescent="0.3">
      <c r="A6" s="23" t="s">
        <v>1323</v>
      </c>
      <c r="B6" s="24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2"/>
  <sheetViews>
    <sheetView showGridLines="0" zoomScaleNormal="100" workbookViewId="0">
      <pane ySplit="3" topLeftCell="A4" activePane="bottomLeft" state="frozen"/>
      <selection pane="bottomLeft" activeCell="S19" sqref="S19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4</v>
      </c>
      <c r="B3" s="18" t="s">
        <v>1322</v>
      </c>
    </row>
    <row r="4" spans="1:2" x14ac:dyDescent="0.3">
      <c r="A4" s="19" t="s">
        <v>55</v>
      </c>
      <c r="B4" s="20">
        <v>3513527.2</v>
      </c>
    </row>
    <row r="5" spans="1:2" x14ac:dyDescent="0.3">
      <c r="A5" s="21" t="s">
        <v>133</v>
      </c>
      <c r="B5" s="25">
        <v>2267410.2000000002</v>
      </c>
    </row>
    <row r="6" spans="1:2" x14ac:dyDescent="0.3">
      <c r="A6" s="21" t="s">
        <v>78</v>
      </c>
      <c r="B6" s="25">
        <v>1965270.25</v>
      </c>
    </row>
    <row r="7" spans="1:2" x14ac:dyDescent="0.3">
      <c r="A7" s="21" t="s">
        <v>66</v>
      </c>
      <c r="B7" s="25">
        <v>1573718.55</v>
      </c>
    </row>
    <row r="8" spans="1:2" x14ac:dyDescent="0.3">
      <c r="A8" s="21" t="s">
        <v>43</v>
      </c>
      <c r="B8" s="25">
        <v>1289030.7</v>
      </c>
    </row>
    <row r="9" spans="1:2" x14ac:dyDescent="0.3">
      <c r="A9" s="21" t="s">
        <v>29</v>
      </c>
      <c r="B9" s="25">
        <v>1240942.95</v>
      </c>
    </row>
    <row r="10" spans="1:2" x14ac:dyDescent="0.3">
      <c r="A10" s="21" t="s">
        <v>102</v>
      </c>
      <c r="B10" s="25">
        <v>424820.75</v>
      </c>
    </row>
    <row r="11" spans="1:2" x14ac:dyDescent="0.3">
      <c r="A11" s="21" t="s">
        <v>196</v>
      </c>
      <c r="B11" s="22">
        <v>207863.75</v>
      </c>
    </row>
    <row r="12" spans="1:2" x14ac:dyDescent="0.3">
      <c r="A12" s="23" t="s">
        <v>1323</v>
      </c>
      <c r="B12" s="24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1"/>
  <sheetViews>
    <sheetView showGridLines="0" zoomScaleNormal="100" workbookViewId="0">
      <pane ySplit="3" topLeftCell="A4" activePane="bottomLeft" state="frozen"/>
      <selection pane="bottomLeft" activeCell="E28" sqref="E28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11</v>
      </c>
      <c r="B3" s="18" t="s">
        <v>1322</v>
      </c>
    </row>
    <row r="4" spans="1:2" x14ac:dyDescent="0.3">
      <c r="A4" s="19" t="s">
        <v>61</v>
      </c>
      <c r="B4" s="20">
        <v>5037683.95</v>
      </c>
    </row>
    <row r="5" spans="1:2" x14ac:dyDescent="0.3">
      <c r="A5" s="21" t="s">
        <v>36</v>
      </c>
      <c r="B5" s="25">
        <v>3573862.95</v>
      </c>
    </row>
    <row r="6" spans="1:2" x14ac:dyDescent="0.3">
      <c r="A6" s="21" t="s">
        <v>171</v>
      </c>
      <c r="B6" s="25">
        <v>1400463.9</v>
      </c>
    </row>
    <row r="7" spans="1:2" x14ac:dyDescent="0.3">
      <c r="A7" s="21" t="s">
        <v>49</v>
      </c>
      <c r="B7" s="25">
        <v>1366633.65</v>
      </c>
    </row>
    <row r="8" spans="1:2" x14ac:dyDescent="0.3">
      <c r="A8" s="21" t="s">
        <v>70</v>
      </c>
      <c r="B8" s="25">
        <v>980083.65</v>
      </c>
    </row>
    <row r="9" spans="1:2" x14ac:dyDescent="0.3">
      <c r="A9" s="21" t="s">
        <v>151</v>
      </c>
      <c r="B9" s="25">
        <v>98515.4</v>
      </c>
    </row>
    <row r="10" spans="1:2" x14ac:dyDescent="0.3">
      <c r="A10" s="21" t="s">
        <v>130</v>
      </c>
      <c r="B10" s="22">
        <v>25340.85</v>
      </c>
    </row>
    <row r="11" spans="1:2" x14ac:dyDescent="0.3">
      <c r="A11" s="23" t="s">
        <v>1323</v>
      </c>
      <c r="B11" s="24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9"/>
  <sheetViews>
    <sheetView showGridLines="0" zoomScaleNormal="100" workbookViewId="0">
      <pane ySplit="3" topLeftCell="A4" activePane="bottomLeft" state="frozen"/>
      <selection pane="bottomLeft" activeCell="F8" sqref="F8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10</v>
      </c>
      <c r="B3" s="18" t="s">
        <v>1322</v>
      </c>
    </row>
    <row r="4" spans="1:2" x14ac:dyDescent="0.3">
      <c r="A4" s="19" t="s">
        <v>60</v>
      </c>
      <c r="B4" s="20">
        <v>5037683.95</v>
      </c>
    </row>
    <row r="5" spans="1:2" x14ac:dyDescent="0.3">
      <c r="A5" s="21" t="s">
        <v>95</v>
      </c>
      <c r="B5" s="25">
        <v>2836458.85</v>
      </c>
    </row>
    <row r="6" spans="1:2" x14ac:dyDescent="0.3">
      <c r="A6" s="21" t="s">
        <v>170</v>
      </c>
      <c r="B6" s="25">
        <v>1400463.9</v>
      </c>
    </row>
    <row r="7" spans="1:2" x14ac:dyDescent="0.3">
      <c r="A7" s="21" t="s">
        <v>48</v>
      </c>
      <c r="B7" s="25">
        <v>1366633.65</v>
      </c>
    </row>
    <row r="8" spans="1:2" x14ac:dyDescent="0.3">
      <c r="A8" s="21" t="s">
        <v>69</v>
      </c>
      <c r="B8" s="25">
        <v>980083.65</v>
      </c>
    </row>
    <row r="9" spans="1:2" x14ac:dyDescent="0.3">
      <c r="A9" s="21" t="s">
        <v>1323</v>
      </c>
      <c r="B9" s="25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8"/>
  <sheetViews>
    <sheetView showGridLines="0" zoomScaleNormal="100" workbookViewId="0">
      <pane ySplit="3" topLeftCell="A4" activePane="bottomLeft" state="frozen"/>
      <selection pane="bottomLeft" activeCell="A3" sqref="A3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18</v>
      </c>
      <c r="B3" s="18" t="s">
        <v>1322</v>
      </c>
    </row>
    <row r="4" spans="1:2" x14ac:dyDescent="0.3">
      <c r="A4" s="19" t="s">
        <v>62</v>
      </c>
      <c r="B4" s="20">
        <v>679739.8</v>
      </c>
    </row>
    <row r="5" spans="1:2" x14ac:dyDescent="0.3">
      <c r="A5" s="21" t="s">
        <v>81</v>
      </c>
      <c r="B5" s="25">
        <v>2522406.5</v>
      </c>
    </row>
    <row r="6" spans="1:2" x14ac:dyDescent="0.3">
      <c r="A6" s="21" t="s">
        <v>50</v>
      </c>
      <c r="B6" s="25">
        <v>3576878.6</v>
      </c>
    </row>
    <row r="7" spans="1:2" x14ac:dyDescent="0.3">
      <c r="A7" s="21" t="s">
        <v>37</v>
      </c>
      <c r="B7" s="22">
        <v>5703559.4500000002</v>
      </c>
    </row>
    <row r="8" spans="1:2" x14ac:dyDescent="0.3">
      <c r="A8" s="23" t="s">
        <v>1323</v>
      </c>
      <c r="B8" s="24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showGridLines="0" zoomScaleNormal="100" workbookViewId="0">
      <pane ySplit="3" topLeftCell="A4" activePane="bottomLeft" state="frozen"/>
      <selection pane="bottomLeft" activeCell="A3" sqref="A3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23</v>
      </c>
      <c r="B3" s="18" t="s">
        <v>1324</v>
      </c>
    </row>
    <row r="4" spans="1:2" x14ac:dyDescent="0.3">
      <c r="A4" s="19" t="s">
        <v>1325</v>
      </c>
      <c r="B4" s="20">
        <v>155</v>
      </c>
    </row>
    <row r="5" spans="1:2" x14ac:dyDescent="0.3">
      <c r="A5" s="21" t="s">
        <v>1326</v>
      </c>
      <c r="B5" s="25">
        <v>171</v>
      </c>
    </row>
    <row r="6" spans="1:2" x14ac:dyDescent="0.3">
      <c r="A6" s="21" t="s">
        <v>1327</v>
      </c>
      <c r="B6" s="22">
        <v>174</v>
      </c>
    </row>
    <row r="7" spans="1:2" x14ac:dyDescent="0.3">
      <c r="A7" s="23" t="s">
        <v>1323</v>
      </c>
      <c r="B7" s="24">
        <v>500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10"/>
  <sheetViews>
    <sheetView showGridLines="0" zoomScaleNormal="100" workbookViewId="0">
      <pane ySplit="3" topLeftCell="A4" activePane="bottomLeft" state="frozen"/>
      <selection pane="bottomLeft" activeCell="L26" sqref="L26"/>
    </sheetView>
  </sheetViews>
  <sheetFormatPr defaultColWidth="8.6640625" defaultRowHeight="14.25" customHeight="1" x14ac:dyDescent="0.3"/>
  <cols>
    <col min="1" max="1" width="22" customWidth="1"/>
    <col min="2" max="2" width="20" customWidth="1"/>
  </cols>
  <sheetData>
    <row r="3" spans="1:2" x14ac:dyDescent="0.3">
      <c r="A3" s="17" t="s">
        <v>21</v>
      </c>
      <c r="B3" s="18" t="s">
        <v>1322</v>
      </c>
    </row>
    <row r="4" spans="1:2" x14ac:dyDescent="0.3">
      <c r="A4" s="19" t="s">
        <v>86</v>
      </c>
      <c r="B4" s="20">
        <v>2414254.85</v>
      </c>
    </row>
    <row r="5" spans="1:2" x14ac:dyDescent="0.3">
      <c r="A5" s="21" t="s">
        <v>39</v>
      </c>
      <c r="B5" s="25">
        <v>2235484.4500000002</v>
      </c>
    </row>
    <row r="6" spans="1:2" x14ac:dyDescent="0.3">
      <c r="A6" s="21" t="s">
        <v>52</v>
      </c>
      <c r="B6" s="25">
        <v>2112298.2999999998</v>
      </c>
    </row>
    <row r="7" spans="1:2" x14ac:dyDescent="0.3">
      <c r="A7" s="21" t="s">
        <v>63</v>
      </c>
      <c r="B7" s="25">
        <v>1958579.2</v>
      </c>
    </row>
    <row r="8" spans="1:2" x14ac:dyDescent="0.3">
      <c r="A8" s="21" t="s">
        <v>116</v>
      </c>
      <c r="B8" s="25">
        <v>1907075.15</v>
      </c>
    </row>
    <row r="9" spans="1:2" x14ac:dyDescent="0.3">
      <c r="A9" s="21" t="s">
        <v>75</v>
      </c>
      <c r="B9" s="22">
        <v>1854892.4</v>
      </c>
    </row>
    <row r="10" spans="1:2" x14ac:dyDescent="0.3">
      <c r="A10" s="23" t="s">
        <v>1323</v>
      </c>
      <c r="B10" s="24">
        <v>12482584.35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10"/>
  <sheetViews>
    <sheetView showGridLines="0" tabSelected="1" zoomScale="37" zoomScaleNormal="100" workbookViewId="0">
      <selection activeCell="M26" sqref="M26"/>
    </sheetView>
  </sheetViews>
  <sheetFormatPr defaultColWidth="8.6640625" defaultRowHeight="14.25" customHeight="1" x14ac:dyDescent="0.3"/>
  <cols>
    <col min="1" max="14" width="14" customWidth="1"/>
  </cols>
  <sheetData>
    <row r="1" spans="1:14" ht="33.75" customHeight="1" x14ac:dyDescent="0.3">
      <c r="A1" s="33" t="s">
        <v>1328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4.25" customHeight="1" x14ac:dyDescent="0.4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2.8" x14ac:dyDescent="0.3">
      <c r="A3" s="27" t="s">
        <v>1309</v>
      </c>
      <c r="B3" s="27"/>
      <c r="C3" s="27"/>
      <c r="D3" s="27" t="s">
        <v>1311</v>
      </c>
      <c r="E3" s="27"/>
      <c r="F3" s="27"/>
      <c r="G3" s="27" t="s">
        <v>1313</v>
      </c>
      <c r="H3" s="27"/>
      <c r="I3" s="27"/>
      <c r="J3" s="27" t="s">
        <v>1315</v>
      </c>
      <c r="K3" s="27"/>
      <c r="L3" s="27"/>
      <c r="M3" s="27" t="s">
        <v>1317</v>
      </c>
      <c r="N3" s="27"/>
    </row>
    <row r="4" spans="1:14" ht="14.4" customHeight="1" x14ac:dyDescent="0.3">
      <c r="A4" s="28">
        <f>Analysis!B2</f>
        <v>12482584.349999994</v>
      </c>
      <c r="B4" s="28"/>
      <c r="C4" s="28"/>
      <c r="D4" s="28">
        <f>Analysis!B3</f>
        <v>2515406.6500000018</v>
      </c>
      <c r="E4" s="28"/>
      <c r="F4" s="28"/>
      <c r="G4" s="28">
        <f>Analysis!B4</f>
        <v>500</v>
      </c>
      <c r="H4" s="28"/>
      <c r="I4" s="28"/>
      <c r="J4" s="28">
        <f>Analysis!B5</f>
        <v>24965.168699999987</v>
      </c>
      <c r="K4" s="28"/>
      <c r="L4" s="28"/>
      <c r="M4" s="28">
        <f>Analysis!B6</f>
        <v>0.20151329079542754</v>
      </c>
      <c r="N4" s="28"/>
    </row>
    <row r="5" spans="1:14" ht="14.4" customHeigh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4.25" customHeight="1" x14ac:dyDescent="0.4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22.8" x14ac:dyDescent="0.4">
      <c r="A7" s="29" t="s">
        <v>1329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23.4" x14ac:dyDescent="0.45">
      <c r="A8" s="30" t="s">
        <v>3</v>
      </c>
      <c r="B8" s="26"/>
      <c r="C8" s="26"/>
      <c r="D8" s="30" t="s">
        <v>4</v>
      </c>
      <c r="E8" s="26"/>
      <c r="F8" s="26"/>
      <c r="G8" s="30" t="s">
        <v>11</v>
      </c>
      <c r="H8" s="26"/>
      <c r="I8" s="26"/>
      <c r="J8" s="30" t="s">
        <v>23</v>
      </c>
      <c r="K8" s="26"/>
      <c r="L8" s="26"/>
      <c r="M8" s="26"/>
      <c r="N8" s="26"/>
    </row>
    <row r="9" spans="1:14" ht="23.4" x14ac:dyDescent="0.45">
      <c r="A9" s="31" t="s">
        <v>1330</v>
      </c>
      <c r="B9" s="31"/>
      <c r="C9" s="31"/>
      <c r="D9" s="31" t="s">
        <v>1330</v>
      </c>
      <c r="E9" s="31"/>
      <c r="F9" s="31"/>
      <c r="G9" s="31" t="s">
        <v>1330</v>
      </c>
      <c r="H9" s="31"/>
      <c r="I9" s="31"/>
      <c r="J9" s="31" t="s">
        <v>1330</v>
      </c>
      <c r="K9" s="31"/>
      <c r="L9" s="31"/>
      <c r="M9" s="26"/>
      <c r="N9" s="26"/>
    </row>
    <row r="10" spans="1:14" ht="22.8" x14ac:dyDescent="0.4">
      <c r="A10" s="32" t="s">
        <v>1331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</sheetData>
  <mergeCells count="17">
    <mergeCell ref="A10:N10"/>
    <mergeCell ref="A7:N7"/>
    <mergeCell ref="A9:C9"/>
    <mergeCell ref="D9:F9"/>
    <mergeCell ref="G9:I9"/>
    <mergeCell ref="J9:L9"/>
    <mergeCell ref="A4:C5"/>
    <mergeCell ref="D4:F5"/>
    <mergeCell ref="G4:I5"/>
    <mergeCell ref="J4:L5"/>
    <mergeCell ref="M4:N5"/>
    <mergeCell ref="A1:N1"/>
    <mergeCell ref="A3:C3"/>
    <mergeCell ref="D3:F3"/>
    <mergeCell ref="G3:I3"/>
    <mergeCell ref="J3:L3"/>
    <mergeCell ref="M3:N3"/>
  </mergeCells>
  <dataValidations count="4">
    <dataValidation type="list" sqref="A9" xr:uid="{00000000-0002-0000-0A00-000000000000}">
      <formula1>"All,May,June"</formula1>
      <formula2>0</formula2>
    </dataValidation>
    <dataValidation type="list" sqref="D9" xr:uid="{00000000-0002-0000-0A00-000001000000}">
      <formula1>"All,Faridabad,Muradabad,Ghaziabad,Meerut,Greater Noida,Hapur,Noida,Modinagar"</formula1>
      <formula2>0</formula2>
    </dataValidation>
    <dataValidation type="list" sqref="G9" xr:uid="{00000000-0002-0000-0A00-000002000000}">
      <formula1>"All,Symphony,Crompton,Kenstar,Bajaj,Orient,V-Guard,Generic"</formula1>
      <formula2>0</formula2>
    </dataValidation>
    <dataValidation type="list" sqref="J9" xr:uid="{00000000-0002-0000-0A00-000003000000}">
      <formula1>"All,High Value,Medium Value,Low Value"</formula1>
      <formula2>0</formula2>
    </dataValidation>
  </dataValidations>
  <pageMargins left="0.7" right="0.7" top="0.75" bottom="0.75" header="0.511811023622047" footer="0.511811023622047"/>
  <pageSetup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RetailSales</vt:lpstr>
      <vt:lpstr>Data Cleaning</vt:lpstr>
      <vt:lpstr>Analysis</vt:lpstr>
      <vt:lpstr>Pivot_Month</vt:lpstr>
      <vt:lpstr>Pivot_City</vt:lpstr>
      <vt:lpstr>Pivot_Brand</vt:lpstr>
      <vt:lpstr>Pivot_Product</vt:lpstr>
      <vt:lpstr>Pivot_Payment</vt:lpstr>
      <vt:lpstr>Pivot_CustomerSegment</vt:lpstr>
      <vt:lpstr>Pivot_SalesExecutive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2026-08-17T19:58:35Z</dcterms:created>
  <dcterms:modified xsi:type="dcterms:W3CDTF">2026-08-17T19:58:35Z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2026-08-06T16:06:01Z</dcterms:created>
  <dc:creator>openpyxl</dc:creator>
  <dc:description/>
  <dc:language>en-US</dc:language>
  <cp:lastModifiedBy>asus</cp:lastModifiedBy>
  <dcterms:modified xsi:type="dcterms:W3CDTF">2026-08-17T19:38:58Z</dcterms:modified>
  <cp:revision>0</cp:revision>
  <dc:subject/>
  <dc:title/>
</cp:coreProperties>
</file>